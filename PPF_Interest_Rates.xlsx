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hananjay\"/>
    </mc:Choice>
  </mc:AlternateContent>
  <xr:revisionPtr revIDLastSave="0" documentId="13_ncr:1_{06246248-5EE6-42FD-921F-243DFC9E9399}" xr6:coauthVersionLast="47" xr6:coauthVersionMax="47" xr10:uidLastSave="{00000000-0000-0000-0000-000000000000}"/>
  <bookViews>
    <workbookView xWindow="-120" yWindow="-120" windowWidth="19440" windowHeight="15000" xr2:uid="{EFE5C530-A404-4873-A4B6-290E008722F3}"/>
  </bookViews>
  <sheets>
    <sheet name="PPF_Int_Rates" sheetId="2" r:id="rId1"/>
    <sheet name="Data" sheetId="7" r:id="rId2"/>
    <sheet name="Forcast" sheetId="8" r:id="rId3"/>
    <sheet name="Forcast_Chart" sheetId="10" r:id="rId4"/>
    <sheet name="Other_Graph" sheetId="6" r:id="rId5"/>
  </sheets>
  <definedNames>
    <definedName name="_xlnm._FilterDatabase" localSheetId="1" hidden="1">Data!$A$1:$B$73</definedName>
    <definedName name="ExternalData_1" localSheetId="0" hidden="1">PPF_Int_Rates!$A$1:$C$50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8" l="1"/>
  <c r="C63" i="8"/>
  <c r="C67" i="8"/>
  <c r="C71" i="8"/>
  <c r="H5" i="8"/>
  <c r="C61" i="8"/>
  <c r="C69" i="8"/>
  <c r="C73" i="8"/>
  <c r="H7" i="8"/>
  <c r="C66" i="8"/>
  <c r="H4" i="8"/>
  <c r="C60" i="8"/>
  <c r="C64" i="8"/>
  <c r="C68" i="8"/>
  <c r="C72" i="8"/>
  <c r="H2" i="8"/>
  <c r="H6" i="8"/>
  <c r="C65" i="8"/>
  <c r="H3" i="8"/>
  <c r="C62" i="8"/>
  <c r="C70" i="8"/>
  <c r="H8" i="8"/>
  <c r="D70" i="8"/>
  <c r="E65" i="8"/>
  <c r="D68" i="8"/>
  <c r="D60" i="8"/>
  <c r="E73" i="8"/>
  <c r="E61" i="8"/>
  <c r="D67" i="8"/>
  <c r="D59" i="8"/>
  <c r="D64" i="8"/>
  <c r="E71" i="8"/>
  <c r="E63" i="8"/>
  <c r="D62" i="8"/>
  <c r="E72" i="8"/>
  <c r="E64" i="8"/>
  <c r="D66" i="8"/>
  <c r="D69" i="8"/>
  <c r="D71" i="8"/>
  <c r="D63" i="8"/>
  <c r="E70" i="8"/>
  <c r="D65" i="8"/>
  <c r="E68" i="8"/>
  <c r="E60" i="8"/>
  <c r="D73" i="8"/>
  <c r="D61" i="8"/>
  <c r="E67" i="8"/>
  <c r="E59" i="8"/>
  <c r="E62" i="8"/>
  <c r="D72" i="8"/>
  <c r="E66" i="8"/>
  <c r="E6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2EB2CB-B602-4E70-A44A-12323F330AFE}" keepAlive="1" name="Query - PPF_Int_Rates" description="Connection to the 'PPF_Int_Rates' query in the workbook." type="5" refreshedVersion="8" background="1" saveData="1">
    <dbPr connection="Provider=Microsoft.Mashup.OleDb.1;Data Source=$Workbook$;Location=PPF_Int_Rates;Extended Properties=&quot;&quot;" command="SELECT * FROM [PPF_Int_Rates]"/>
  </connection>
</connections>
</file>

<file path=xl/sharedStrings.xml><?xml version="1.0" encoding="utf-8"?>
<sst xmlns="http://schemas.openxmlformats.org/spreadsheetml/2006/main" count="63" uniqueCount="59">
  <si>
    <t>FROM</t>
  </si>
  <si>
    <t>TO</t>
  </si>
  <si>
    <t>RATE OF INTEREST (%)</t>
  </si>
  <si>
    <t xml:space="preserve"> 31-07-1974</t>
  </si>
  <si>
    <t xml:space="preserve"> 31-03-1975</t>
  </si>
  <si>
    <t xml:space="preserve"> 31-03-1977</t>
  </si>
  <si>
    <t xml:space="preserve"> 14-01-2000</t>
  </si>
  <si>
    <t xml:space="preserve"> 28-02-2001</t>
  </si>
  <si>
    <t xml:space="preserve"> 28-02-2002</t>
  </si>
  <si>
    <t xml:space="preserve"> 28-02-2003</t>
  </si>
  <si>
    <t xml:space="preserve"> 30-11-2011</t>
  </si>
  <si>
    <t xml:space="preserve"> 31-03-2012</t>
  </si>
  <si>
    <t xml:space="preserve"> 31-03-2013</t>
  </si>
  <si>
    <t xml:space="preserve"> 31-03-2016</t>
  </si>
  <si>
    <t xml:space="preserve"> 30-09-2016</t>
  </si>
  <si>
    <t xml:space="preserve"> 31-03-2017</t>
  </si>
  <si>
    <t xml:space="preserve"> 30-06-2017</t>
  </si>
  <si>
    <t xml:space="preserve"> 31-12-2017</t>
  </si>
  <si>
    <t xml:space="preserve"> 30-09-2018</t>
  </si>
  <si>
    <t xml:space="preserve"> 31-03-2020</t>
  </si>
  <si>
    <t xml:space="preserve"> 31-03-2025</t>
  </si>
  <si>
    <t xml:space="preserve"> 31-03-1980</t>
  </si>
  <si>
    <t xml:space="preserve"> 31-03-1978</t>
  </si>
  <si>
    <t xml:space="preserve"> 31-03-1979</t>
  </si>
  <si>
    <t xml:space="preserve"> 31-03-1981</t>
  </si>
  <si>
    <t xml:space="preserve"> 31-03-1982</t>
  </si>
  <si>
    <t xml:space="preserve"> 31-03-1983</t>
  </si>
  <si>
    <t xml:space="preserve"> 31-03-1984</t>
  </si>
  <si>
    <t xml:space="preserve"> 31-03-1985</t>
  </si>
  <si>
    <t xml:space="preserve"> 31-03-1986</t>
  </si>
  <si>
    <t xml:space="preserve"> 31-03-1987</t>
  </si>
  <si>
    <t xml:space="preserve"> 31-03-1988</t>
  </si>
  <si>
    <t xml:space="preserve"> 31-03-1989</t>
  </si>
  <si>
    <t xml:space="preserve"> 31-03-1990</t>
  </si>
  <si>
    <t xml:space="preserve"> 31-03-1991</t>
  </si>
  <si>
    <t xml:space="preserve"> 31-03-1992</t>
  </si>
  <si>
    <t xml:space="preserve"> 31-03-1993</t>
  </si>
  <si>
    <t xml:space="preserve"> 31-03-1994</t>
  </si>
  <si>
    <t xml:space="preserve"> 31-03-1995</t>
  </si>
  <si>
    <t xml:space="preserve"> 31-03-1996</t>
  </si>
  <si>
    <t xml:space="preserve"> 31-03-1997</t>
  </si>
  <si>
    <t xml:space="preserve"> 31-03-1998</t>
  </si>
  <si>
    <t xml:space="preserve"> 31-03-1999</t>
  </si>
  <si>
    <t xml:space="preserve"> 30-06-2019</t>
  </si>
  <si>
    <t>Sum of Years</t>
  </si>
  <si>
    <t>Interest Rates</t>
  </si>
  <si>
    <t>Year</t>
  </si>
  <si>
    <t>Forecast(RATE OF INTEREST (%))</t>
  </si>
  <si>
    <t>Lower Confidence Bound(RATE OF INTEREST (%))</t>
  </si>
  <si>
    <t>Upper Confidence Bound(RATE OF INTEREST (%))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</si>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</sst>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25"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600" b="1"/>
              <a:t>Next 15 Years Forcasting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985502311924213E-2"/>
          <c:y val="9.3805089549199763E-2"/>
          <c:w val="0.88939831504611655"/>
          <c:h val="0.71052356959654261"/>
        </c:manualLayout>
      </c:layout>
      <c:lineChart>
        <c:grouping val="standard"/>
        <c:varyColors val="0"/>
        <c:ser>
          <c:idx val="0"/>
          <c:order val="0"/>
          <c:tx>
            <c:strRef>
              <c:f>Forcast!$B$1</c:f>
              <c:strCache>
                <c:ptCount val="1"/>
                <c:pt idx="0">
                  <c:v>RATE OF INTEREST (%)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28575">
                <a:solidFill>
                  <a:srgbClr val="FF0000"/>
                </a:solidFill>
              </a:ln>
              <a:effectLst/>
            </c:spPr>
          </c:marker>
          <c:val>
            <c:numRef>
              <c:f>Forcast!$B$2:$B$73</c:f>
              <c:numCache>
                <c:formatCode>General</c:formatCode>
                <c:ptCount val="72"/>
                <c:pt idx="0">
                  <c:v>4.8</c:v>
                </c:pt>
                <c:pt idx="1">
                  <c:v>4.8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5.8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  <c:pt idx="17">
                  <c:v>10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11</c:v>
                </c:pt>
                <c:pt idx="33">
                  <c:v>9.5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8</c:v>
                </c:pt>
                <c:pt idx="43">
                  <c:v>8.6</c:v>
                </c:pt>
                <c:pt idx="44">
                  <c:v>8.8000000000000007</c:v>
                </c:pt>
                <c:pt idx="45">
                  <c:v>8.8000000000000007</c:v>
                </c:pt>
                <c:pt idx="46">
                  <c:v>8.8000000000000007</c:v>
                </c:pt>
                <c:pt idx="47">
                  <c:v>8.1</c:v>
                </c:pt>
                <c:pt idx="48">
                  <c:v>7.8</c:v>
                </c:pt>
                <c:pt idx="49">
                  <c:v>7.6</c:v>
                </c:pt>
                <c:pt idx="50">
                  <c:v>8</c:v>
                </c:pt>
                <c:pt idx="51">
                  <c:v>7.1</c:v>
                </c:pt>
                <c:pt idx="52">
                  <c:v>7.1</c:v>
                </c:pt>
                <c:pt idx="53">
                  <c:v>7.1</c:v>
                </c:pt>
                <c:pt idx="54">
                  <c:v>7.1</c:v>
                </c:pt>
                <c:pt idx="55">
                  <c:v>7.1</c:v>
                </c:pt>
                <c:pt idx="56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6-4D20-8D67-0F0B1E5B738C}"/>
            </c:ext>
          </c:extLst>
        </c:ser>
        <c:ser>
          <c:idx val="1"/>
          <c:order val="1"/>
          <c:tx>
            <c:strRef>
              <c:f>Forcast!$C$1</c:f>
              <c:strCache>
                <c:ptCount val="1"/>
                <c:pt idx="0">
                  <c:v>Forecast(RATE OF INTEREST (%))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28575">
                <a:solidFill>
                  <a:schemeClr val="accent2"/>
                </a:solidFill>
              </a:ln>
              <a:effectLst/>
            </c:spPr>
          </c:marker>
          <c:cat>
            <c:numRef>
              <c:f>Forcast!$A$2:$A$73</c:f>
              <c:numCache>
                <c:formatCode>m/d/yyyy</c:formatCode>
                <c:ptCount val="72"/>
                <c:pt idx="0">
                  <c:v>25204</c:v>
                </c:pt>
                <c:pt idx="1">
                  <c:v>25569</c:v>
                </c:pt>
                <c:pt idx="2">
                  <c:v>25934</c:v>
                </c:pt>
                <c:pt idx="3">
                  <c:v>26299</c:v>
                </c:pt>
                <c:pt idx="4">
                  <c:v>26665</c:v>
                </c:pt>
                <c:pt idx="5">
                  <c:v>27030</c:v>
                </c:pt>
                <c:pt idx="6">
                  <c:v>27395</c:v>
                </c:pt>
                <c:pt idx="7">
                  <c:v>27760</c:v>
                </c:pt>
                <c:pt idx="8">
                  <c:v>28126</c:v>
                </c:pt>
                <c:pt idx="9">
                  <c:v>28491</c:v>
                </c:pt>
                <c:pt idx="10">
                  <c:v>28856</c:v>
                </c:pt>
                <c:pt idx="11">
                  <c:v>29221</c:v>
                </c:pt>
                <c:pt idx="12">
                  <c:v>29587</c:v>
                </c:pt>
                <c:pt idx="13">
                  <c:v>29952</c:v>
                </c:pt>
                <c:pt idx="14">
                  <c:v>30317</c:v>
                </c:pt>
                <c:pt idx="15">
                  <c:v>30682</c:v>
                </c:pt>
                <c:pt idx="16">
                  <c:v>31048</c:v>
                </c:pt>
                <c:pt idx="17">
                  <c:v>31413</c:v>
                </c:pt>
                <c:pt idx="18">
                  <c:v>31778</c:v>
                </c:pt>
                <c:pt idx="19">
                  <c:v>32143</c:v>
                </c:pt>
                <c:pt idx="20">
                  <c:v>32509</c:v>
                </c:pt>
                <c:pt idx="21">
                  <c:v>32874</c:v>
                </c:pt>
                <c:pt idx="22">
                  <c:v>33239</c:v>
                </c:pt>
                <c:pt idx="23">
                  <c:v>33604</c:v>
                </c:pt>
                <c:pt idx="24">
                  <c:v>33970</c:v>
                </c:pt>
                <c:pt idx="25">
                  <c:v>34335</c:v>
                </c:pt>
                <c:pt idx="26">
                  <c:v>34700</c:v>
                </c:pt>
                <c:pt idx="27">
                  <c:v>35065</c:v>
                </c:pt>
                <c:pt idx="28">
                  <c:v>35431</c:v>
                </c:pt>
                <c:pt idx="29">
                  <c:v>35796</c:v>
                </c:pt>
                <c:pt idx="30">
                  <c:v>36161</c:v>
                </c:pt>
                <c:pt idx="31">
                  <c:v>36526</c:v>
                </c:pt>
                <c:pt idx="32">
                  <c:v>36892</c:v>
                </c:pt>
                <c:pt idx="33">
                  <c:v>37257</c:v>
                </c:pt>
                <c:pt idx="34">
                  <c:v>37622</c:v>
                </c:pt>
                <c:pt idx="35">
                  <c:v>37987</c:v>
                </c:pt>
                <c:pt idx="36">
                  <c:v>38353</c:v>
                </c:pt>
                <c:pt idx="37">
                  <c:v>38718</c:v>
                </c:pt>
                <c:pt idx="38">
                  <c:v>39083</c:v>
                </c:pt>
                <c:pt idx="39">
                  <c:v>39448</c:v>
                </c:pt>
                <c:pt idx="40">
                  <c:v>39814</c:v>
                </c:pt>
                <c:pt idx="41">
                  <c:v>40179</c:v>
                </c:pt>
                <c:pt idx="42">
                  <c:v>40544</c:v>
                </c:pt>
                <c:pt idx="43">
                  <c:v>40909</c:v>
                </c:pt>
                <c:pt idx="44">
                  <c:v>41275</c:v>
                </c:pt>
                <c:pt idx="45">
                  <c:v>41640</c:v>
                </c:pt>
                <c:pt idx="46">
                  <c:v>42005</c:v>
                </c:pt>
                <c:pt idx="47">
                  <c:v>42370</c:v>
                </c:pt>
                <c:pt idx="48">
                  <c:v>42736</c:v>
                </c:pt>
                <c:pt idx="49">
                  <c:v>43101</c:v>
                </c:pt>
                <c:pt idx="50">
                  <c:v>43466</c:v>
                </c:pt>
                <c:pt idx="51">
                  <c:v>43831</c:v>
                </c:pt>
                <c:pt idx="52">
                  <c:v>44197</c:v>
                </c:pt>
                <c:pt idx="53">
                  <c:v>44562</c:v>
                </c:pt>
                <c:pt idx="54">
                  <c:v>44927</c:v>
                </c:pt>
                <c:pt idx="55">
                  <c:v>45292</c:v>
                </c:pt>
                <c:pt idx="56">
                  <c:v>45658</c:v>
                </c:pt>
                <c:pt idx="57">
                  <c:v>46023</c:v>
                </c:pt>
                <c:pt idx="58">
                  <c:v>46388</c:v>
                </c:pt>
                <c:pt idx="59">
                  <c:v>46753</c:v>
                </c:pt>
                <c:pt idx="60">
                  <c:v>47119</c:v>
                </c:pt>
                <c:pt idx="61">
                  <c:v>47484</c:v>
                </c:pt>
                <c:pt idx="62">
                  <c:v>47849</c:v>
                </c:pt>
                <c:pt idx="63">
                  <c:v>48214</c:v>
                </c:pt>
                <c:pt idx="64">
                  <c:v>48580</c:v>
                </c:pt>
                <c:pt idx="65">
                  <c:v>48945</c:v>
                </c:pt>
                <c:pt idx="66">
                  <c:v>49310</c:v>
                </c:pt>
                <c:pt idx="67">
                  <c:v>49675</c:v>
                </c:pt>
                <c:pt idx="68">
                  <c:v>50041</c:v>
                </c:pt>
                <c:pt idx="69">
                  <c:v>50406</c:v>
                </c:pt>
                <c:pt idx="70">
                  <c:v>50771</c:v>
                </c:pt>
                <c:pt idx="71">
                  <c:v>51136</c:v>
                </c:pt>
              </c:numCache>
            </c:numRef>
          </c:cat>
          <c:val>
            <c:numRef>
              <c:f>Forcast!$C$2:$C$73</c:f>
              <c:numCache>
                <c:formatCode>General</c:formatCode>
                <c:ptCount val="72"/>
                <c:pt idx="56" formatCode="0.00">
                  <c:v>7.1</c:v>
                </c:pt>
                <c:pt idx="57" formatCode="0.00">
                  <c:v>6.9722260694168181</c:v>
                </c:pt>
                <c:pt idx="58" formatCode="0.00">
                  <c:v>6.8681476591882324</c:v>
                </c:pt>
                <c:pt idx="59" formatCode="0.00">
                  <c:v>6.7640692489596477</c:v>
                </c:pt>
                <c:pt idx="60" formatCode="0.00">
                  <c:v>6.659990838731062</c:v>
                </c:pt>
                <c:pt idx="61" formatCode="0.00">
                  <c:v>6.5559124285024772</c:v>
                </c:pt>
                <c:pt idx="62" formatCode="0.00">
                  <c:v>6.4518340182738916</c:v>
                </c:pt>
                <c:pt idx="63" formatCode="0.00">
                  <c:v>6.3477556080453068</c:v>
                </c:pt>
                <c:pt idx="64" formatCode="0.00">
                  <c:v>6.2436771978167211</c:v>
                </c:pt>
                <c:pt idx="65" formatCode="0.00">
                  <c:v>6.1395987875881364</c:v>
                </c:pt>
                <c:pt idx="66" formatCode="0.00">
                  <c:v>6.0355203773595516</c:v>
                </c:pt>
                <c:pt idx="67" formatCode="0.00">
                  <c:v>5.9314419671309659</c:v>
                </c:pt>
                <c:pt idx="68" formatCode="0.00">
                  <c:v>5.8273635569023812</c:v>
                </c:pt>
                <c:pt idx="69" formatCode="0.00">
                  <c:v>5.7232851466737955</c:v>
                </c:pt>
                <c:pt idx="70" formatCode="0.00">
                  <c:v>5.6192067364452107</c:v>
                </c:pt>
                <c:pt idx="71" formatCode="0.00">
                  <c:v>5.515128326216626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66-4D20-8D67-0F0B1E5B738C}"/>
            </c:ext>
          </c:extLst>
        </c:ser>
        <c:ser>
          <c:idx val="2"/>
          <c:order val="2"/>
          <c:tx>
            <c:strRef>
              <c:f>Forcast!$D$1</c:f>
              <c:strCache>
                <c:ptCount val="1"/>
                <c:pt idx="0">
                  <c:v>Lower Confidence Bound(RATE OF INTEREST (%))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28575">
                <a:solidFill>
                  <a:schemeClr val="accent3"/>
                </a:solidFill>
              </a:ln>
              <a:effectLst/>
            </c:spPr>
          </c:marker>
          <c:cat>
            <c:numRef>
              <c:f>Forcast!$A$2:$A$73</c:f>
              <c:numCache>
                <c:formatCode>m/d/yyyy</c:formatCode>
                <c:ptCount val="72"/>
                <c:pt idx="0">
                  <c:v>25204</c:v>
                </c:pt>
                <c:pt idx="1">
                  <c:v>25569</c:v>
                </c:pt>
                <c:pt idx="2">
                  <c:v>25934</c:v>
                </c:pt>
                <c:pt idx="3">
                  <c:v>26299</c:v>
                </c:pt>
                <c:pt idx="4">
                  <c:v>26665</c:v>
                </c:pt>
                <c:pt idx="5">
                  <c:v>27030</c:v>
                </c:pt>
                <c:pt idx="6">
                  <c:v>27395</c:v>
                </c:pt>
                <c:pt idx="7">
                  <c:v>27760</c:v>
                </c:pt>
                <c:pt idx="8">
                  <c:v>28126</c:v>
                </c:pt>
                <c:pt idx="9">
                  <c:v>28491</c:v>
                </c:pt>
                <c:pt idx="10">
                  <c:v>28856</c:v>
                </c:pt>
                <c:pt idx="11">
                  <c:v>29221</c:v>
                </c:pt>
                <c:pt idx="12">
                  <c:v>29587</c:v>
                </c:pt>
                <c:pt idx="13">
                  <c:v>29952</c:v>
                </c:pt>
                <c:pt idx="14">
                  <c:v>30317</c:v>
                </c:pt>
                <c:pt idx="15">
                  <c:v>30682</c:v>
                </c:pt>
                <c:pt idx="16">
                  <c:v>31048</c:v>
                </c:pt>
                <c:pt idx="17">
                  <c:v>31413</c:v>
                </c:pt>
                <c:pt idx="18">
                  <c:v>31778</c:v>
                </c:pt>
                <c:pt idx="19">
                  <c:v>32143</c:v>
                </c:pt>
                <c:pt idx="20">
                  <c:v>32509</c:v>
                </c:pt>
                <c:pt idx="21">
                  <c:v>32874</c:v>
                </c:pt>
                <c:pt idx="22">
                  <c:v>33239</c:v>
                </c:pt>
                <c:pt idx="23">
                  <c:v>33604</c:v>
                </c:pt>
                <c:pt idx="24">
                  <c:v>33970</c:v>
                </c:pt>
                <c:pt idx="25">
                  <c:v>34335</c:v>
                </c:pt>
                <c:pt idx="26">
                  <c:v>34700</c:v>
                </c:pt>
                <c:pt idx="27">
                  <c:v>35065</c:v>
                </c:pt>
                <c:pt idx="28">
                  <c:v>35431</c:v>
                </c:pt>
                <c:pt idx="29">
                  <c:v>35796</c:v>
                </c:pt>
                <c:pt idx="30">
                  <c:v>36161</c:v>
                </c:pt>
                <c:pt idx="31">
                  <c:v>36526</c:v>
                </c:pt>
                <c:pt idx="32">
                  <c:v>36892</c:v>
                </c:pt>
                <c:pt idx="33">
                  <c:v>37257</c:v>
                </c:pt>
                <c:pt idx="34">
                  <c:v>37622</c:v>
                </c:pt>
                <c:pt idx="35">
                  <c:v>37987</c:v>
                </c:pt>
                <c:pt idx="36">
                  <c:v>38353</c:v>
                </c:pt>
                <c:pt idx="37">
                  <c:v>38718</c:v>
                </c:pt>
                <c:pt idx="38">
                  <c:v>39083</c:v>
                </c:pt>
                <c:pt idx="39">
                  <c:v>39448</c:v>
                </c:pt>
                <c:pt idx="40">
                  <c:v>39814</c:v>
                </c:pt>
                <c:pt idx="41">
                  <c:v>40179</c:v>
                </c:pt>
                <c:pt idx="42">
                  <c:v>40544</c:v>
                </c:pt>
                <c:pt idx="43">
                  <c:v>40909</c:v>
                </c:pt>
                <c:pt idx="44">
                  <c:v>41275</c:v>
                </c:pt>
                <c:pt idx="45">
                  <c:v>41640</c:v>
                </c:pt>
                <c:pt idx="46">
                  <c:v>42005</c:v>
                </c:pt>
                <c:pt idx="47">
                  <c:v>42370</c:v>
                </c:pt>
                <c:pt idx="48">
                  <c:v>42736</c:v>
                </c:pt>
                <c:pt idx="49">
                  <c:v>43101</c:v>
                </c:pt>
                <c:pt idx="50">
                  <c:v>43466</c:v>
                </c:pt>
                <c:pt idx="51">
                  <c:v>43831</c:v>
                </c:pt>
                <c:pt idx="52">
                  <c:v>44197</c:v>
                </c:pt>
                <c:pt idx="53">
                  <c:v>44562</c:v>
                </c:pt>
                <c:pt idx="54">
                  <c:v>44927</c:v>
                </c:pt>
                <c:pt idx="55">
                  <c:v>45292</c:v>
                </c:pt>
                <c:pt idx="56">
                  <c:v>45658</c:v>
                </c:pt>
                <c:pt idx="57">
                  <c:v>46023</c:v>
                </c:pt>
                <c:pt idx="58">
                  <c:v>46388</c:v>
                </c:pt>
                <c:pt idx="59">
                  <c:v>46753</c:v>
                </c:pt>
                <c:pt idx="60">
                  <c:v>47119</c:v>
                </c:pt>
                <c:pt idx="61">
                  <c:v>47484</c:v>
                </c:pt>
                <c:pt idx="62">
                  <c:v>47849</c:v>
                </c:pt>
                <c:pt idx="63">
                  <c:v>48214</c:v>
                </c:pt>
                <c:pt idx="64">
                  <c:v>48580</c:v>
                </c:pt>
                <c:pt idx="65">
                  <c:v>48945</c:v>
                </c:pt>
                <c:pt idx="66">
                  <c:v>49310</c:v>
                </c:pt>
                <c:pt idx="67">
                  <c:v>49675</c:v>
                </c:pt>
                <c:pt idx="68">
                  <c:v>50041</c:v>
                </c:pt>
                <c:pt idx="69">
                  <c:v>50406</c:v>
                </c:pt>
                <c:pt idx="70">
                  <c:v>50771</c:v>
                </c:pt>
                <c:pt idx="71">
                  <c:v>51136</c:v>
                </c:pt>
              </c:numCache>
            </c:numRef>
          </c:cat>
          <c:val>
            <c:numRef>
              <c:f>Forcast!$D$2:$D$73</c:f>
              <c:numCache>
                <c:formatCode>General</c:formatCode>
                <c:ptCount val="72"/>
                <c:pt idx="56" formatCode="0.00">
                  <c:v>7.1</c:v>
                </c:pt>
                <c:pt idx="57" formatCode="0.00">
                  <c:v>5.9746315371416587</c:v>
                </c:pt>
                <c:pt idx="58" formatCode="0.00">
                  <c:v>5.5148427048114677</c:v>
                </c:pt>
                <c:pt idx="59" formatCode="0.00">
                  <c:v>5.0828112811836519</c:v>
                </c:pt>
                <c:pt idx="60" formatCode="0.00">
                  <c:v>4.6613415061861563</c:v>
                </c:pt>
                <c:pt idx="61" formatCode="0.00">
                  <c:v>4.2430854051380686</c:v>
                </c:pt>
                <c:pt idx="62" formatCode="0.00">
                  <c:v>3.8242572733574125</c:v>
                </c:pt>
                <c:pt idx="63" formatCode="0.00">
                  <c:v>3.4026930577088956</c:v>
                </c:pt>
                <c:pt idx="64" formatCode="0.00">
                  <c:v>2.9770745889037169</c:v>
                </c:pt>
                <c:pt idx="65" formatCode="0.00">
                  <c:v>2.5465667493836648</c:v>
                </c:pt>
                <c:pt idx="66" formatCode="0.00">
                  <c:v>2.1106286038119282</c:v>
                </c:pt>
                <c:pt idx="67" formatCode="0.00">
                  <c:v>1.6689071152265846</c:v>
                </c:pt>
                <c:pt idx="68" formatCode="0.00">
                  <c:v>1.2211736828171773</c:v>
                </c:pt>
                <c:pt idx="69" formatCode="0.00">
                  <c:v>0.76728444540400176</c:v>
                </c:pt>
                <c:pt idx="70" formatCode="0.00">
                  <c:v>0.30715450703965441</c:v>
                </c:pt>
                <c:pt idx="71" formatCode="0.00">
                  <c:v>-0.15925931533649873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66-4D20-8D67-0F0B1E5B738C}"/>
            </c:ext>
          </c:extLst>
        </c:ser>
        <c:ser>
          <c:idx val="3"/>
          <c:order val="3"/>
          <c:tx>
            <c:strRef>
              <c:f>Forcast!$E$1</c:f>
              <c:strCache>
                <c:ptCount val="1"/>
                <c:pt idx="0">
                  <c:v>Upper Confidence Bound(RATE OF INTEREST (%))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28575">
                <a:solidFill>
                  <a:schemeClr val="accent4"/>
                </a:solidFill>
              </a:ln>
              <a:effectLst/>
            </c:spPr>
          </c:marker>
          <c:cat>
            <c:numRef>
              <c:f>Forcast!$A$2:$A$73</c:f>
              <c:numCache>
                <c:formatCode>m/d/yyyy</c:formatCode>
                <c:ptCount val="72"/>
                <c:pt idx="0">
                  <c:v>25204</c:v>
                </c:pt>
                <c:pt idx="1">
                  <c:v>25569</c:v>
                </c:pt>
                <c:pt idx="2">
                  <c:v>25934</c:v>
                </c:pt>
                <c:pt idx="3">
                  <c:v>26299</c:v>
                </c:pt>
                <c:pt idx="4">
                  <c:v>26665</c:v>
                </c:pt>
                <c:pt idx="5">
                  <c:v>27030</c:v>
                </c:pt>
                <c:pt idx="6">
                  <c:v>27395</c:v>
                </c:pt>
                <c:pt idx="7">
                  <c:v>27760</c:v>
                </c:pt>
                <c:pt idx="8">
                  <c:v>28126</c:v>
                </c:pt>
                <c:pt idx="9">
                  <c:v>28491</c:v>
                </c:pt>
                <c:pt idx="10">
                  <c:v>28856</c:v>
                </c:pt>
                <c:pt idx="11">
                  <c:v>29221</c:v>
                </c:pt>
                <c:pt idx="12">
                  <c:v>29587</c:v>
                </c:pt>
                <c:pt idx="13">
                  <c:v>29952</c:v>
                </c:pt>
                <c:pt idx="14">
                  <c:v>30317</c:v>
                </c:pt>
                <c:pt idx="15">
                  <c:v>30682</c:v>
                </c:pt>
                <c:pt idx="16">
                  <c:v>31048</c:v>
                </c:pt>
                <c:pt idx="17">
                  <c:v>31413</c:v>
                </c:pt>
                <c:pt idx="18">
                  <c:v>31778</c:v>
                </c:pt>
                <c:pt idx="19">
                  <c:v>32143</c:v>
                </c:pt>
                <c:pt idx="20">
                  <c:v>32509</c:v>
                </c:pt>
                <c:pt idx="21">
                  <c:v>32874</c:v>
                </c:pt>
                <c:pt idx="22">
                  <c:v>33239</c:v>
                </c:pt>
                <c:pt idx="23">
                  <c:v>33604</c:v>
                </c:pt>
                <c:pt idx="24">
                  <c:v>33970</c:v>
                </c:pt>
                <c:pt idx="25">
                  <c:v>34335</c:v>
                </c:pt>
                <c:pt idx="26">
                  <c:v>34700</c:v>
                </c:pt>
                <c:pt idx="27">
                  <c:v>35065</c:v>
                </c:pt>
                <c:pt idx="28">
                  <c:v>35431</c:v>
                </c:pt>
                <c:pt idx="29">
                  <c:v>35796</c:v>
                </c:pt>
                <c:pt idx="30">
                  <c:v>36161</c:v>
                </c:pt>
                <c:pt idx="31">
                  <c:v>36526</c:v>
                </c:pt>
                <c:pt idx="32">
                  <c:v>36892</c:v>
                </c:pt>
                <c:pt idx="33">
                  <c:v>37257</c:v>
                </c:pt>
                <c:pt idx="34">
                  <c:v>37622</c:v>
                </c:pt>
                <c:pt idx="35">
                  <c:v>37987</c:v>
                </c:pt>
                <c:pt idx="36">
                  <c:v>38353</c:v>
                </c:pt>
                <c:pt idx="37">
                  <c:v>38718</c:v>
                </c:pt>
                <c:pt idx="38">
                  <c:v>39083</c:v>
                </c:pt>
                <c:pt idx="39">
                  <c:v>39448</c:v>
                </c:pt>
                <c:pt idx="40">
                  <c:v>39814</c:v>
                </c:pt>
                <c:pt idx="41">
                  <c:v>40179</c:v>
                </c:pt>
                <c:pt idx="42">
                  <c:v>40544</c:v>
                </c:pt>
                <c:pt idx="43">
                  <c:v>40909</c:v>
                </c:pt>
                <c:pt idx="44">
                  <c:v>41275</c:v>
                </c:pt>
                <c:pt idx="45">
                  <c:v>41640</c:v>
                </c:pt>
                <c:pt idx="46">
                  <c:v>42005</c:v>
                </c:pt>
                <c:pt idx="47">
                  <c:v>42370</c:v>
                </c:pt>
                <c:pt idx="48">
                  <c:v>42736</c:v>
                </c:pt>
                <c:pt idx="49">
                  <c:v>43101</c:v>
                </c:pt>
                <c:pt idx="50">
                  <c:v>43466</c:v>
                </c:pt>
                <c:pt idx="51">
                  <c:v>43831</c:v>
                </c:pt>
                <c:pt idx="52">
                  <c:v>44197</c:v>
                </c:pt>
                <c:pt idx="53">
                  <c:v>44562</c:v>
                </c:pt>
                <c:pt idx="54">
                  <c:v>44927</c:v>
                </c:pt>
                <c:pt idx="55">
                  <c:v>45292</c:v>
                </c:pt>
                <c:pt idx="56">
                  <c:v>45658</c:v>
                </c:pt>
                <c:pt idx="57">
                  <c:v>46023</c:v>
                </c:pt>
                <c:pt idx="58">
                  <c:v>46388</c:v>
                </c:pt>
                <c:pt idx="59">
                  <c:v>46753</c:v>
                </c:pt>
                <c:pt idx="60">
                  <c:v>47119</c:v>
                </c:pt>
                <c:pt idx="61">
                  <c:v>47484</c:v>
                </c:pt>
                <c:pt idx="62">
                  <c:v>47849</c:v>
                </c:pt>
                <c:pt idx="63">
                  <c:v>48214</c:v>
                </c:pt>
                <c:pt idx="64">
                  <c:v>48580</c:v>
                </c:pt>
                <c:pt idx="65">
                  <c:v>48945</c:v>
                </c:pt>
                <c:pt idx="66">
                  <c:v>49310</c:v>
                </c:pt>
                <c:pt idx="67">
                  <c:v>49675</c:v>
                </c:pt>
                <c:pt idx="68">
                  <c:v>50041</c:v>
                </c:pt>
                <c:pt idx="69">
                  <c:v>50406</c:v>
                </c:pt>
                <c:pt idx="70">
                  <c:v>50771</c:v>
                </c:pt>
                <c:pt idx="71">
                  <c:v>51136</c:v>
                </c:pt>
              </c:numCache>
            </c:numRef>
          </c:cat>
          <c:val>
            <c:numRef>
              <c:f>Forcast!$E$2:$E$73</c:f>
              <c:numCache>
                <c:formatCode>General</c:formatCode>
                <c:ptCount val="72"/>
                <c:pt idx="56" formatCode="0.00">
                  <c:v>7.1</c:v>
                </c:pt>
                <c:pt idx="57" formatCode="0.00">
                  <c:v>7.9698206016919775</c:v>
                </c:pt>
                <c:pt idx="58" formatCode="0.00">
                  <c:v>8.2214526135649972</c:v>
                </c:pt>
                <c:pt idx="59" formatCode="0.00">
                  <c:v>8.4453272167356435</c:v>
                </c:pt>
                <c:pt idx="60" formatCode="0.00">
                  <c:v>8.6586401712759677</c:v>
                </c:pt>
                <c:pt idx="61" formatCode="0.00">
                  <c:v>8.8687394518668867</c:v>
                </c:pt>
                <c:pt idx="62" formatCode="0.00">
                  <c:v>9.0794107631903707</c:v>
                </c:pt>
                <c:pt idx="63" formatCode="0.00">
                  <c:v>9.2928181583817171</c:v>
                </c:pt>
                <c:pt idx="64" formatCode="0.00">
                  <c:v>9.5102798067297254</c:v>
                </c:pt>
                <c:pt idx="65" formatCode="0.00">
                  <c:v>9.732630825792608</c:v>
                </c:pt>
                <c:pt idx="66" formatCode="0.00">
                  <c:v>9.9604121509071746</c:v>
                </c:pt>
                <c:pt idx="67" formatCode="0.00">
                  <c:v>10.193976819035347</c:v>
                </c:pt>
                <c:pt idx="68" formatCode="0.00">
                  <c:v>10.433553430987585</c:v>
                </c:pt>
                <c:pt idx="69" formatCode="0.00">
                  <c:v>10.679285847943589</c:v>
                </c:pt>
                <c:pt idx="70" formatCode="0.00">
                  <c:v>10.931258965850766</c:v>
                </c:pt>
                <c:pt idx="71" formatCode="0.00">
                  <c:v>11.189515967769751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66-4D20-8D67-0F0B1E5B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551808"/>
        <c:axId val="2068588816"/>
      </c:lineChart>
      <c:dateAx>
        <c:axId val="203855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Year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88816"/>
        <c:crosses val="autoZero"/>
        <c:auto val="0"/>
        <c:lblOffset val="100"/>
        <c:baseTimeUnit val="days"/>
      </c:dateAx>
      <c:valAx>
        <c:axId val="2068588816"/>
        <c:scaling>
          <c:orientation val="minMax"/>
          <c:min val="2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95000"/>
                  <a:lumOff val="5000"/>
                </a:schemeClr>
              </a:solidFill>
              <a:prstDash val="solid"/>
              <a:miter lim="800000"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400"/>
                  <a:t>Interest Rates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51808"/>
        <c:crosses val="autoZero"/>
        <c:crossBetween val="midCat"/>
        <c:majorUnit val="1"/>
        <c:minorUnit val="1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PPF Interest Rates</a:t>
            </a:r>
          </a:p>
        </c:rich>
      </c:tx>
      <c:layout>
        <c:manualLayout>
          <c:xMode val="edge"/>
          <c:yMode val="edge"/>
          <c:x val="0.324666831059834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65280599496783"/>
          <c:y val="9.8420661381760574E-2"/>
          <c:w val="0.86786171770492582"/>
          <c:h val="0.639864906804759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Other_Graph!$A$1</c:f>
              <c:strCache>
                <c:ptCount val="1"/>
                <c:pt idx="0">
                  <c:v>Interest Rates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2B64-44D3-ACF7-E6276C69D7D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2E-4C59-9851-D71BE1B74DED}"/>
              </c:ext>
            </c:extLst>
          </c:dPt>
          <c:dPt>
            <c:idx val="10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2E-4C59-9851-D71BE1B74DED}"/>
              </c:ext>
            </c:extLst>
          </c:dPt>
          <c:dLbls>
            <c:dLbl>
              <c:idx val="0"/>
              <c:layout>
                <c:manualLayout>
                  <c:x val="8.3741228460414929E-2"/>
                  <c:y val="-3.3191566208898043E-2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Maximum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2B64-44D3-ACF7-E6276C69D7DC}"/>
                </c:ext>
              </c:extLst>
            </c:dLbl>
            <c:dLbl>
              <c:idx val="2"/>
              <c:layout>
                <c:manualLayout>
                  <c:x val="1.2046027205451632E-3"/>
                  <c:y val="-6.13355433062604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7.1 Current</a:t>
                    </a:r>
                    <a:r>
                      <a:rPr lang="en-US" baseline="0"/>
                      <a:t> Interest Rate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65177768035048"/>
                      <c:h val="0.10948698816412389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912E-4C59-9851-D71BE1B74DED}"/>
                </c:ext>
              </c:extLst>
            </c:dLbl>
            <c:dLbl>
              <c:idx val="10"/>
              <c:layout>
                <c:manualLayout>
                  <c:x val="-5.819954566383935E-2"/>
                  <c:y val="-6.4676616915422883E-2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Minimum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12E-4C59-9851-D71BE1B74D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Other_Graph!$B$2:$B$22</c:f>
              <c:numCache>
                <c:formatCode>General</c:formatCode>
                <c:ptCount val="21"/>
                <c:pt idx="0" formatCode="0.00">
                  <c:v>14.833333333333334</c:v>
                </c:pt>
                <c:pt idx="1">
                  <c:v>11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 formatCode="0.00">
                  <c:v>2.6666666666666665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 formatCode="0.00">
                  <c:v>1.1666666666666667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0.75</c:v>
                </c:pt>
                <c:pt idx="17">
                  <c:v>0.5</c:v>
                </c:pt>
                <c:pt idx="18">
                  <c:v>0.5</c:v>
                </c:pt>
                <c:pt idx="19" formatCode="0.00">
                  <c:v>0.33333333333333331</c:v>
                </c:pt>
                <c:pt idx="20" formatCode="0.00">
                  <c:v>0.33333333333333331</c:v>
                </c:pt>
              </c:numCache>
            </c:numRef>
          </c:cat>
          <c:val>
            <c:numRef>
              <c:f>Other_Graph!$A$2:$A$22</c:f>
              <c:numCache>
                <c:formatCode>General</c:formatCode>
                <c:ptCount val="21"/>
                <c:pt idx="0">
                  <c:v>12</c:v>
                </c:pt>
                <c:pt idx="1">
                  <c:v>8</c:v>
                </c:pt>
                <c:pt idx="2">
                  <c:v>7.1</c:v>
                </c:pt>
                <c:pt idx="3">
                  <c:v>8.6999999999999993</c:v>
                </c:pt>
                <c:pt idx="4">
                  <c:v>7.5</c:v>
                </c:pt>
                <c:pt idx="5">
                  <c:v>7</c:v>
                </c:pt>
                <c:pt idx="6">
                  <c:v>9.5</c:v>
                </c:pt>
                <c:pt idx="7">
                  <c:v>9</c:v>
                </c:pt>
                <c:pt idx="8">
                  <c:v>8.5</c:v>
                </c:pt>
                <c:pt idx="9">
                  <c:v>5</c:v>
                </c:pt>
                <c:pt idx="10">
                  <c:v>4.8</c:v>
                </c:pt>
                <c:pt idx="11">
                  <c:v>11</c:v>
                </c:pt>
                <c:pt idx="12">
                  <c:v>10</c:v>
                </c:pt>
                <c:pt idx="13">
                  <c:v>8.8000000000000007</c:v>
                </c:pt>
                <c:pt idx="14">
                  <c:v>7.9</c:v>
                </c:pt>
                <c:pt idx="15">
                  <c:v>5.3</c:v>
                </c:pt>
                <c:pt idx="16">
                  <c:v>7.6</c:v>
                </c:pt>
                <c:pt idx="17">
                  <c:v>8.1</c:v>
                </c:pt>
                <c:pt idx="18">
                  <c:v>7.8</c:v>
                </c:pt>
                <c:pt idx="19">
                  <c:v>8.6</c:v>
                </c:pt>
                <c:pt idx="20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64-44D3-ACF7-E6276C69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628271"/>
        <c:axId val="1819088175"/>
      </c:barChart>
      <c:catAx>
        <c:axId val="180962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>
                    <a:latin typeface="Consolas" panose="020B0609020204030204" pitchFamily="49" charset="0"/>
                  </a:rPr>
                  <a:t>Total No of Years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0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088175"/>
        <c:crosses val="autoZero"/>
        <c:auto val="1"/>
        <c:lblAlgn val="ctr"/>
        <c:lblOffset val="100"/>
        <c:noMultiLvlLbl val="0"/>
      </c:catAx>
      <c:valAx>
        <c:axId val="1819088175"/>
        <c:scaling>
          <c:orientation val="minMax"/>
          <c:max val="13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  <a:headEnd type="triangle" w="lg" len="lg"/>
              <a:tailEnd type="stealth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Consolas" panose="020B0609020204030204" pitchFamily="49" charset="0"/>
                  </a:rPr>
                  <a:t>Interest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628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35BFB2-62B5-4A21-A06C-C419080B2DE5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849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2BAE7A-1DA4-7C4B-34A2-446D19A19F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178504</xdr:colOff>
      <xdr:row>2</xdr:row>
      <xdr:rowOff>102818</xdr:rowOff>
    </xdr:from>
    <xdr:to>
      <xdr:col>11</xdr:col>
      <xdr:colOff>546367</xdr:colOff>
      <xdr:row>18</xdr:row>
      <xdr:rowOff>122525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165DF-5F00-FBD0-60E9-CA3BB8F70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D65303-A30D-4F78-B301-A020710EFE2D}" autoFormatId="16" applyNumberFormats="0" applyBorderFormats="0" applyFontFormats="0" applyPatternFormats="0" applyAlignmentFormats="0" applyWidthHeightFormats="0">
  <queryTableRefresh nextId="4">
    <queryTableFields count="3">
      <queryTableField id="1" name="FROM" tableColumnId="1"/>
      <queryTableField id="2" name="TO" tableColumnId="2"/>
      <queryTableField id="3" name="RATE OF INTEREST (%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7760E-4AD0-4BDA-BF3D-957154DA181F}" name="PPF_Int_Rates" displayName="PPF_Int_Rates" ref="A1:C50" tableType="queryTable" totalsRowShown="0" headerRowDxfId="24" dataDxfId="22" headerRowBorderDxfId="23" tableBorderDxfId="21" totalsRowBorderDxfId="20">
  <autoFilter ref="A1:C50" xr:uid="{3487760E-4AD0-4BDA-BF3D-957154DA181F}"/>
  <tableColumns count="3">
    <tableColumn id="1" xr3:uid="{8D17F971-413B-49FF-8994-937E892E442B}" uniqueName="1" name="FROM" queryTableFieldId="1" dataDxfId="19"/>
    <tableColumn id="2" xr3:uid="{EE7714C0-BB7C-4EA2-A986-32AAADBB949E}" uniqueName="2" name="TO" queryTableFieldId="2" dataDxfId="18"/>
    <tableColumn id="3" xr3:uid="{BD2A0459-00B6-4FBB-A546-A94D0CE35574}" uniqueName="3" name="RATE OF INTEREST (%)" queryTableFieldId="3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CF7EE2-E084-44EF-A146-7F5C93C195CB}" name="Table3" displayName="Table3" ref="A1:B73" totalsRowShown="0">
  <autoFilter ref="A1:B73" xr:uid="{3BCF7EE2-E084-44EF-A146-7F5C93C195CB}"/>
  <tableColumns count="2">
    <tableColumn id="1" xr3:uid="{74D12DCA-9AE4-4576-98F4-182628D4E1AC}" name="Year"/>
    <tableColumn id="2" xr3:uid="{99D01337-720E-4427-8B86-7F6E710EE87F}" name="RATE OF INTEREST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3B2CD2-5C23-4A3B-9FEB-7ADE9EAFAD9B}" name="Table4" displayName="Table4" ref="A1:E73" totalsRowShown="0" headerRowDxfId="1" dataDxfId="0" headerRowBorderDxfId="8" tableBorderDxfId="9" totalsRowBorderDxfId="7">
  <autoFilter ref="A1:E73" xr:uid="{743B2CD2-5C23-4A3B-9FEB-7ADE9EAFAD9B}"/>
  <tableColumns count="5">
    <tableColumn id="1" xr3:uid="{AF04C451-89E2-41B4-B3EE-C520804CB1AD}" name="Year" dataDxfId="6"/>
    <tableColumn id="2" xr3:uid="{AFE4F77B-25F6-44F7-8FFE-DEAF2A628753}" name="RATE OF INTEREST (%)" dataDxfId="5"/>
    <tableColumn id="3" xr3:uid="{858774DC-B9CD-4781-9D7C-15BC76568231}" name="Forecast(RATE OF INTEREST (%))" dataDxfId="4">
      <calculatedColumnFormula>_xlfn.FORECAST.ETS(A2,$B$2:$B$58,$A$2:$A$58,0,1)</calculatedColumnFormula>
    </tableColumn>
    <tableColumn id="4" xr3:uid="{C4AE3E39-708F-42C9-8760-299F4D4E6ADD}" name="Lower Confidence Bound(RATE OF INTEREST (%))" dataDxfId="3">
      <calculatedColumnFormula>C2-_xlfn.FORECAST.ETS.CONFINT(A2,$B$2:$B$58,$A$2:$A$58,0.95,0,1)</calculatedColumnFormula>
    </tableColumn>
    <tableColumn id="5" xr3:uid="{DED354BA-2FE0-41EE-86F7-FBBD42B8330F}" name="Upper Confidence Bound(RATE OF INTEREST (%))" dataDxfId="2">
      <calculatedColumnFormula>C2+_xlfn.FORECAST.ETS.CONFINT(A2,$B$2:$B$58,$A$2:$A$58,0.95,0,1)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93DB6D-2423-49D1-AA1C-AB0551DF938C}" name="Table5" displayName="Table5" ref="G1:H8" totalsRowShown="0" headerRowDxfId="10">
  <autoFilter ref="G1:H8" xr:uid="{0593DB6D-2423-49D1-AA1C-AB0551DF938C}"/>
  <tableColumns count="2">
    <tableColumn id="1" xr3:uid="{0B15E5F4-4E41-4D14-A604-EE156318D8FA}" name="Statistic"/>
    <tableColumn id="2" xr3:uid="{920907FD-B9F6-4BC1-AC63-2191ABCF7B1A}" name="Value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4B3C04-D9BE-4549-9698-D15DABAA3180}" name="Table2" displayName="Table2" ref="A1:B22" totalsRowShown="0" headerRowDxfId="16" dataDxfId="14" headerRowBorderDxfId="15">
  <autoFilter ref="A1:B22" xr:uid="{134B3C04-D9BE-4549-9698-D15DABAA3180}"/>
  <sortState xmlns:xlrd2="http://schemas.microsoft.com/office/spreadsheetml/2017/richdata2" ref="A2:B22">
    <sortCondition descending="1" ref="B1:B22"/>
  </sortState>
  <tableColumns count="2">
    <tableColumn id="1" xr3:uid="{1CE706F1-64B8-4D99-AEF4-3482AC4DE280}" name="Interest Rates" dataDxfId="13"/>
    <tableColumn id="2" xr3:uid="{6DD3FC71-3699-478C-8B99-69C7E896EBCD}" name="Sum of Year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7AD1-5235-4233-A2D2-34CB813A584B}">
  <dimension ref="A1:C50"/>
  <sheetViews>
    <sheetView showGridLines="0" tabSelected="1" zoomScale="175" zoomScaleNormal="175" workbookViewId="0">
      <selection activeCell="D4" sqref="D4"/>
    </sheetView>
  </sheetViews>
  <sheetFormatPr defaultRowHeight="15" x14ac:dyDescent="0.25"/>
  <cols>
    <col min="1" max="2" width="11.28515625" bestFit="1" customWidth="1"/>
    <col min="3" max="3" width="29" customWidth="1"/>
    <col min="5" max="5" width="11.28515625" bestFit="1" customWidth="1"/>
  </cols>
  <sheetData>
    <row r="1" spans="1:3" ht="18.75" x14ac:dyDescent="0.25">
      <c r="A1" s="7" t="s">
        <v>0</v>
      </c>
      <c r="B1" s="8" t="s">
        <v>1</v>
      </c>
      <c r="C1" s="9" t="s">
        <v>2</v>
      </c>
    </row>
    <row r="2" spans="1:3" x14ac:dyDescent="0.25">
      <c r="A2" s="1">
        <v>24929</v>
      </c>
      <c r="B2" s="2">
        <v>25293</v>
      </c>
      <c r="C2" s="3">
        <v>4.8</v>
      </c>
    </row>
    <row r="3" spans="1:3" x14ac:dyDescent="0.25">
      <c r="A3" s="1">
        <v>25294</v>
      </c>
      <c r="B3" s="2">
        <v>25658</v>
      </c>
      <c r="C3" s="3">
        <v>4.8</v>
      </c>
    </row>
    <row r="4" spans="1:3" x14ac:dyDescent="0.25">
      <c r="A4" s="1">
        <v>25659</v>
      </c>
      <c r="B4" s="2">
        <v>26023</v>
      </c>
      <c r="C4" s="3">
        <v>5</v>
      </c>
    </row>
    <row r="5" spans="1:3" x14ac:dyDescent="0.25">
      <c r="A5" s="1">
        <v>26024</v>
      </c>
      <c r="B5" s="2">
        <v>26389</v>
      </c>
      <c r="C5" s="3">
        <v>5</v>
      </c>
    </row>
    <row r="6" spans="1:3" x14ac:dyDescent="0.25">
      <c r="A6" s="1">
        <v>26390</v>
      </c>
      <c r="B6" s="2">
        <v>26754</v>
      </c>
      <c r="C6" s="3">
        <v>5</v>
      </c>
    </row>
    <row r="7" spans="1:3" x14ac:dyDescent="0.25">
      <c r="A7" s="1">
        <v>26755</v>
      </c>
      <c r="B7" s="2">
        <v>27119</v>
      </c>
      <c r="C7" s="3">
        <v>5.3</v>
      </c>
    </row>
    <row r="8" spans="1:3" x14ac:dyDescent="0.25">
      <c r="A8" s="1">
        <v>27120</v>
      </c>
      <c r="B8" s="2" t="s">
        <v>3</v>
      </c>
      <c r="C8" s="3">
        <v>5.8</v>
      </c>
    </row>
    <row r="9" spans="1:3" x14ac:dyDescent="0.25">
      <c r="A9" s="1">
        <v>27242</v>
      </c>
      <c r="B9" s="2" t="s">
        <v>4</v>
      </c>
      <c r="C9" s="3">
        <v>7</v>
      </c>
    </row>
    <row r="10" spans="1:3" x14ac:dyDescent="0.25">
      <c r="A10" s="1">
        <v>27485</v>
      </c>
      <c r="B10" s="2">
        <v>27850</v>
      </c>
      <c r="C10" s="3">
        <v>7</v>
      </c>
    </row>
    <row r="11" spans="1:3" x14ac:dyDescent="0.25">
      <c r="A11" s="1">
        <v>27851</v>
      </c>
      <c r="B11" s="2" t="s">
        <v>5</v>
      </c>
      <c r="C11" s="3">
        <v>7</v>
      </c>
    </row>
    <row r="12" spans="1:3" x14ac:dyDescent="0.25">
      <c r="A12" s="1">
        <v>28216</v>
      </c>
      <c r="B12" s="2" t="s">
        <v>22</v>
      </c>
      <c r="C12" s="3">
        <v>7.5</v>
      </c>
    </row>
    <row r="13" spans="1:3" x14ac:dyDescent="0.25">
      <c r="A13" s="1">
        <v>28581</v>
      </c>
      <c r="B13" s="2" t="s">
        <v>23</v>
      </c>
      <c r="C13" s="3">
        <v>7.5</v>
      </c>
    </row>
    <row r="14" spans="1:3" x14ac:dyDescent="0.25">
      <c r="A14" s="1">
        <v>28946</v>
      </c>
      <c r="B14" s="2" t="s">
        <v>21</v>
      </c>
      <c r="C14" s="3">
        <v>7.5</v>
      </c>
    </row>
    <row r="15" spans="1:3" x14ac:dyDescent="0.25">
      <c r="A15" s="1">
        <v>29312</v>
      </c>
      <c r="B15" s="2" t="s">
        <v>24</v>
      </c>
      <c r="C15" s="3">
        <v>8</v>
      </c>
    </row>
    <row r="16" spans="1:3" x14ac:dyDescent="0.25">
      <c r="A16" s="1">
        <v>29677</v>
      </c>
      <c r="B16" s="2" t="s">
        <v>25</v>
      </c>
      <c r="C16" s="3">
        <v>8.5</v>
      </c>
    </row>
    <row r="17" spans="1:3" x14ac:dyDescent="0.25">
      <c r="A17" s="1">
        <v>30042</v>
      </c>
      <c r="B17" s="2" t="s">
        <v>26</v>
      </c>
      <c r="C17" s="3">
        <v>8.5</v>
      </c>
    </row>
    <row r="18" spans="1:3" x14ac:dyDescent="0.25">
      <c r="A18" s="1">
        <v>30407</v>
      </c>
      <c r="B18" s="2" t="s">
        <v>27</v>
      </c>
      <c r="C18" s="3">
        <v>9</v>
      </c>
    </row>
    <row r="19" spans="1:3" x14ac:dyDescent="0.25">
      <c r="A19" s="1">
        <v>30773</v>
      </c>
      <c r="B19" s="2" t="s">
        <v>28</v>
      </c>
      <c r="C19" s="3">
        <v>9.5</v>
      </c>
    </row>
    <row r="20" spans="1:3" x14ac:dyDescent="0.25">
      <c r="A20" s="1">
        <v>31138</v>
      </c>
      <c r="B20" s="2" t="s">
        <v>29</v>
      </c>
      <c r="C20" s="3">
        <v>10</v>
      </c>
    </row>
    <row r="21" spans="1:3" x14ac:dyDescent="0.25">
      <c r="A21" s="1">
        <v>31503</v>
      </c>
      <c r="B21" s="2" t="s">
        <v>30</v>
      </c>
      <c r="C21" s="3">
        <v>12</v>
      </c>
    </row>
    <row r="22" spans="1:3" x14ac:dyDescent="0.25">
      <c r="A22" s="1">
        <v>31503</v>
      </c>
      <c r="B22" s="2" t="s">
        <v>30</v>
      </c>
      <c r="C22" s="3">
        <v>12</v>
      </c>
    </row>
    <row r="23" spans="1:3" x14ac:dyDescent="0.25">
      <c r="A23" s="1">
        <v>31868</v>
      </c>
      <c r="B23" s="2" t="s">
        <v>31</v>
      </c>
      <c r="C23" s="3">
        <v>12</v>
      </c>
    </row>
    <row r="24" spans="1:3" x14ac:dyDescent="0.25">
      <c r="A24" s="1">
        <v>32234</v>
      </c>
      <c r="B24" s="2" t="s">
        <v>32</v>
      </c>
      <c r="C24" s="3">
        <v>12</v>
      </c>
    </row>
    <row r="25" spans="1:3" x14ac:dyDescent="0.25">
      <c r="A25" s="1">
        <v>32599</v>
      </c>
      <c r="B25" s="2" t="s">
        <v>33</v>
      </c>
      <c r="C25" s="3">
        <v>12</v>
      </c>
    </row>
    <row r="26" spans="1:3" x14ac:dyDescent="0.25">
      <c r="A26" s="1">
        <v>32964</v>
      </c>
      <c r="B26" s="2" t="s">
        <v>34</v>
      </c>
      <c r="C26" s="3">
        <v>12</v>
      </c>
    </row>
    <row r="27" spans="1:3" x14ac:dyDescent="0.25">
      <c r="A27" s="1">
        <v>33329</v>
      </c>
      <c r="B27" s="2" t="s">
        <v>35</v>
      </c>
      <c r="C27" s="3">
        <v>12</v>
      </c>
    </row>
    <row r="28" spans="1:3" x14ac:dyDescent="0.25">
      <c r="A28" s="1">
        <v>33695</v>
      </c>
      <c r="B28" s="2" t="s">
        <v>36</v>
      </c>
      <c r="C28" s="3">
        <v>12</v>
      </c>
    </row>
    <row r="29" spans="1:3" x14ac:dyDescent="0.25">
      <c r="A29" s="1">
        <v>34060</v>
      </c>
      <c r="B29" s="2" t="s">
        <v>37</v>
      </c>
      <c r="C29" s="3">
        <v>12</v>
      </c>
    </row>
    <row r="30" spans="1:3" x14ac:dyDescent="0.25">
      <c r="A30" s="1">
        <v>34425</v>
      </c>
      <c r="B30" s="2" t="s">
        <v>38</v>
      </c>
      <c r="C30" s="3">
        <v>12</v>
      </c>
    </row>
    <row r="31" spans="1:3" x14ac:dyDescent="0.25">
      <c r="A31" s="1">
        <v>34790</v>
      </c>
      <c r="B31" s="2" t="s">
        <v>39</v>
      </c>
      <c r="C31" s="3">
        <v>12</v>
      </c>
    </row>
    <row r="32" spans="1:3" x14ac:dyDescent="0.25">
      <c r="A32" s="1">
        <v>35156</v>
      </c>
      <c r="B32" s="2" t="s">
        <v>40</v>
      </c>
      <c r="C32" s="3">
        <v>12</v>
      </c>
    </row>
    <row r="33" spans="1:3" x14ac:dyDescent="0.25">
      <c r="A33" s="1">
        <v>35521</v>
      </c>
      <c r="B33" s="2" t="s">
        <v>41</v>
      </c>
      <c r="C33" s="3">
        <v>12</v>
      </c>
    </row>
    <row r="34" spans="1:3" x14ac:dyDescent="0.25">
      <c r="A34" s="1">
        <v>35886</v>
      </c>
      <c r="B34" s="2" t="s">
        <v>42</v>
      </c>
      <c r="C34" s="3">
        <v>12</v>
      </c>
    </row>
    <row r="35" spans="1:3" x14ac:dyDescent="0.25">
      <c r="A35" s="1">
        <v>36251</v>
      </c>
      <c r="B35" s="2" t="s">
        <v>6</v>
      </c>
      <c r="C35" s="3">
        <v>12</v>
      </c>
    </row>
    <row r="36" spans="1:3" x14ac:dyDescent="0.25">
      <c r="A36" s="1">
        <v>36540</v>
      </c>
      <c r="B36" s="2" t="s">
        <v>7</v>
      </c>
      <c r="C36" s="3">
        <v>11</v>
      </c>
    </row>
    <row r="37" spans="1:3" x14ac:dyDescent="0.25">
      <c r="A37" s="1">
        <v>36951</v>
      </c>
      <c r="B37" s="2" t="s">
        <v>8</v>
      </c>
      <c r="C37" s="3">
        <v>9.5</v>
      </c>
    </row>
    <row r="38" spans="1:3" x14ac:dyDescent="0.25">
      <c r="A38" s="1">
        <v>37316</v>
      </c>
      <c r="B38" s="2" t="s">
        <v>9</v>
      </c>
      <c r="C38" s="3">
        <v>9</v>
      </c>
    </row>
    <row r="39" spans="1:3" x14ac:dyDescent="0.25">
      <c r="A39" s="1">
        <v>37681</v>
      </c>
      <c r="B39" s="2" t="s">
        <v>10</v>
      </c>
      <c r="C39" s="3">
        <v>8</v>
      </c>
    </row>
    <row r="40" spans="1:3" x14ac:dyDescent="0.25">
      <c r="A40" s="1">
        <v>40878</v>
      </c>
      <c r="B40" s="2" t="s">
        <v>11</v>
      </c>
      <c r="C40" s="3">
        <v>8.6</v>
      </c>
    </row>
    <row r="41" spans="1:3" x14ac:dyDescent="0.25">
      <c r="A41" s="1">
        <v>41000</v>
      </c>
      <c r="B41" s="2" t="s">
        <v>12</v>
      </c>
      <c r="C41" s="3">
        <v>8.8000000000000007</v>
      </c>
    </row>
    <row r="42" spans="1:3" x14ac:dyDescent="0.25">
      <c r="A42" s="1">
        <v>41365</v>
      </c>
      <c r="B42" s="2" t="s">
        <v>13</v>
      </c>
      <c r="C42" s="3">
        <v>8.6999999999999993</v>
      </c>
    </row>
    <row r="43" spans="1:3" x14ac:dyDescent="0.25">
      <c r="A43" s="1">
        <v>42461</v>
      </c>
      <c r="B43" s="2" t="s">
        <v>14</v>
      </c>
      <c r="C43" s="3">
        <v>8.1</v>
      </c>
    </row>
    <row r="44" spans="1:3" x14ac:dyDescent="0.25">
      <c r="A44" s="1">
        <v>42644</v>
      </c>
      <c r="B44" s="2" t="s">
        <v>15</v>
      </c>
      <c r="C44" s="3">
        <v>8</v>
      </c>
    </row>
    <row r="45" spans="1:3" x14ac:dyDescent="0.25">
      <c r="A45" s="1">
        <v>42826</v>
      </c>
      <c r="B45" s="2" t="s">
        <v>16</v>
      </c>
      <c r="C45" s="3">
        <v>7.9</v>
      </c>
    </row>
    <row r="46" spans="1:3" x14ac:dyDescent="0.25">
      <c r="A46" s="1">
        <v>42917</v>
      </c>
      <c r="B46" s="2" t="s">
        <v>17</v>
      </c>
      <c r="C46" s="3">
        <v>7.8</v>
      </c>
    </row>
    <row r="47" spans="1:3" x14ac:dyDescent="0.25">
      <c r="A47" s="1">
        <v>43101</v>
      </c>
      <c r="B47" s="2" t="s">
        <v>18</v>
      </c>
      <c r="C47" s="3">
        <v>7.6</v>
      </c>
    </row>
    <row r="48" spans="1:3" x14ac:dyDescent="0.25">
      <c r="A48" s="1">
        <v>43374</v>
      </c>
      <c r="B48" s="2" t="s">
        <v>43</v>
      </c>
      <c r="C48" s="3">
        <v>8</v>
      </c>
    </row>
    <row r="49" spans="1:3" x14ac:dyDescent="0.25">
      <c r="A49" s="1">
        <v>43647</v>
      </c>
      <c r="B49" s="2" t="s">
        <v>19</v>
      </c>
      <c r="C49" s="3">
        <v>7.9</v>
      </c>
    </row>
    <row r="50" spans="1:3" x14ac:dyDescent="0.25">
      <c r="A50" s="4">
        <v>43922</v>
      </c>
      <c r="B50" s="5" t="s">
        <v>20</v>
      </c>
      <c r="C50" s="6">
        <v>7.1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8738-07B3-40A6-A5BC-C88EEB377B70}">
  <dimension ref="A1:B73"/>
  <sheetViews>
    <sheetView showGridLines="0" zoomScale="160" zoomScaleNormal="160" workbookViewId="0">
      <selection activeCell="C3" sqref="C3"/>
    </sheetView>
  </sheetViews>
  <sheetFormatPr defaultRowHeight="15" x14ac:dyDescent="0.25"/>
  <cols>
    <col min="1" max="1" width="11.42578125" customWidth="1"/>
    <col min="2" max="2" width="13.5703125" customWidth="1"/>
  </cols>
  <sheetData>
    <row r="1" spans="1:2" ht="30" x14ac:dyDescent="0.25">
      <c r="A1" s="10" t="s">
        <v>46</v>
      </c>
      <c r="B1" s="12" t="s">
        <v>2</v>
      </c>
    </row>
    <row r="2" spans="1:2" x14ac:dyDescent="0.25">
      <c r="A2" s="2">
        <v>25204</v>
      </c>
      <c r="B2" s="10">
        <v>4.8</v>
      </c>
    </row>
    <row r="3" spans="1:2" x14ac:dyDescent="0.25">
      <c r="A3" s="2">
        <v>25569</v>
      </c>
      <c r="B3" s="10">
        <v>4.8</v>
      </c>
    </row>
    <row r="4" spans="1:2" x14ac:dyDescent="0.25">
      <c r="A4" s="2">
        <v>25934</v>
      </c>
      <c r="B4" s="10">
        <v>5</v>
      </c>
    </row>
    <row r="5" spans="1:2" x14ac:dyDescent="0.25">
      <c r="A5" s="2">
        <v>26299</v>
      </c>
      <c r="B5" s="10">
        <v>5</v>
      </c>
    </row>
    <row r="6" spans="1:2" x14ac:dyDescent="0.25">
      <c r="A6" s="2">
        <v>26665</v>
      </c>
      <c r="B6" s="10">
        <v>5</v>
      </c>
    </row>
    <row r="7" spans="1:2" x14ac:dyDescent="0.25">
      <c r="A7" s="2">
        <v>27030</v>
      </c>
      <c r="B7" s="10">
        <v>5.8</v>
      </c>
    </row>
    <row r="8" spans="1:2" x14ac:dyDescent="0.25">
      <c r="A8" s="2">
        <v>27395</v>
      </c>
      <c r="B8" s="10">
        <v>7</v>
      </c>
    </row>
    <row r="9" spans="1:2" x14ac:dyDescent="0.25">
      <c r="A9" s="2">
        <v>27760</v>
      </c>
      <c r="B9" s="10">
        <v>7</v>
      </c>
    </row>
    <row r="10" spans="1:2" x14ac:dyDescent="0.25">
      <c r="A10" s="2">
        <v>28126</v>
      </c>
      <c r="B10" s="10">
        <v>7</v>
      </c>
    </row>
    <row r="11" spans="1:2" x14ac:dyDescent="0.25">
      <c r="A11" s="2">
        <v>28491</v>
      </c>
      <c r="B11" s="10">
        <v>7.5</v>
      </c>
    </row>
    <row r="12" spans="1:2" x14ac:dyDescent="0.25">
      <c r="A12" s="2">
        <v>28856</v>
      </c>
      <c r="B12" s="10">
        <v>7.5</v>
      </c>
    </row>
    <row r="13" spans="1:2" x14ac:dyDescent="0.25">
      <c r="A13" s="2">
        <v>29221</v>
      </c>
      <c r="B13" s="10">
        <v>7.5</v>
      </c>
    </row>
    <row r="14" spans="1:2" x14ac:dyDescent="0.25">
      <c r="A14" s="2">
        <v>29587</v>
      </c>
      <c r="B14" s="10">
        <v>8</v>
      </c>
    </row>
    <row r="15" spans="1:2" x14ac:dyDescent="0.25">
      <c r="A15" s="2">
        <v>29952</v>
      </c>
      <c r="B15" s="10">
        <v>8.5</v>
      </c>
    </row>
    <row r="16" spans="1:2" x14ac:dyDescent="0.25">
      <c r="A16" s="2">
        <v>30317</v>
      </c>
      <c r="B16" s="10">
        <v>8.5</v>
      </c>
    </row>
    <row r="17" spans="1:2" x14ac:dyDescent="0.25">
      <c r="A17" s="2">
        <v>30682</v>
      </c>
      <c r="B17" s="10">
        <v>9</v>
      </c>
    </row>
    <row r="18" spans="1:2" x14ac:dyDescent="0.25">
      <c r="A18" s="2">
        <v>31048</v>
      </c>
      <c r="B18" s="10">
        <v>9.5</v>
      </c>
    </row>
    <row r="19" spans="1:2" x14ac:dyDescent="0.25">
      <c r="A19" s="2">
        <v>31413</v>
      </c>
      <c r="B19" s="10">
        <v>10</v>
      </c>
    </row>
    <row r="20" spans="1:2" x14ac:dyDescent="0.25">
      <c r="A20" s="2">
        <v>31778</v>
      </c>
      <c r="B20" s="10">
        <v>12</v>
      </c>
    </row>
    <row r="21" spans="1:2" x14ac:dyDescent="0.25">
      <c r="A21" s="2">
        <v>32143</v>
      </c>
      <c r="B21" s="10">
        <v>12</v>
      </c>
    </row>
    <row r="22" spans="1:2" x14ac:dyDescent="0.25">
      <c r="A22" s="2">
        <v>32509</v>
      </c>
      <c r="B22" s="10">
        <v>12</v>
      </c>
    </row>
    <row r="23" spans="1:2" x14ac:dyDescent="0.25">
      <c r="A23" s="2">
        <v>32874</v>
      </c>
      <c r="B23" s="10">
        <v>12</v>
      </c>
    </row>
    <row r="24" spans="1:2" x14ac:dyDescent="0.25">
      <c r="A24" s="2">
        <v>33239</v>
      </c>
      <c r="B24" s="10">
        <v>12</v>
      </c>
    </row>
    <row r="25" spans="1:2" x14ac:dyDescent="0.25">
      <c r="A25" s="2">
        <v>33604</v>
      </c>
      <c r="B25" s="10">
        <v>12</v>
      </c>
    </row>
    <row r="26" spans="1:2" x14ac:dyDescent="0.25">
      <c r="A26" s="2">
        <v>33970</v>
      </c>
      <c r="B26" s="10">
        <v>12</v>
      </c>
    </row>
    <row r="27" spans="1:2" x14ac:dyDescent="0.25">
      <c r="A27" s="2">
        <v>34335</v>
      </c>
      <c r="B27" s="10">
        <v>12</v>
      </c>
    </row>
    <row r="28" spans="1:2" x14ac:dyDescent="0.25">
      <c r="A28" s="2">
        <v>34700</v>
      </c>
      <c r="B28" s="10">
        <v>12</v>
      </c>
    </row>
    <row r="29" spans="1:2" x14ac:dyDescent="0.25">
      <c r="A29" s="2">
        <v>35065</v>
      </c>
      <c r="B29" s="10">
        <v>12</v>
      </c>
    </row>
    <row r="30" spans="1:2" x14ac:dyDescent="0.25">
      <c r="A30" s="2">
        <v>35431</v>
      </c>
      <c r="B30" s="10">
        <v>12</v>
      </c>
    </row>
    <row r="31" spans="1:2" x14ac:dyDescent="0.25">
      <c r="A31" s="2">
        <v>35796</v>
      </c>
      <c r="B31" s="10">
        <v>12</v>
      </c>
    </row>
    <row r="32" spans="1:2" x14ac:dyDescent="0.25">
      <c r="A32" s="2">
        <v>36161</v>
      </c>
      <c r="B32" s="10">
        <v>12</v>
      </c>
    </row>
    <row r="33" spans="1:2" x14ac:dyDescent="0.25">
      <c r="A33" s="2">
        <v>36526</v>
      </c>
      <c r="B33" s="10">
        <v>12</v>
      </c>
    </row>
    <row r="34" spans="1:2" x14ac:dyDescent="0.25">
      <c r="A34" s="2">
        <v>36892</v>
      </c>
      <c r="B34" s="10">
        <v>11</v>
      </c>
    </row>
    <row r="35" spans="1:2" x14ac:dyDescent="0.25">
      <c r="A35" s="2">
        <v>37257</v>
      </c>
      <c r="B35" s="10">
        <v>9.5</v>
      </c>
    </row>
    <row r="36" spans="1:2" x14ac:dyDescent="0.25">
      <c r="A36" s="2">
        <v>37622</v>
      </c>
      <c r="B36" s="10">
        <v>9</v>
      </c>
    </row>
    <row r="37" spans="1:2" x14ac:dyDescent="0.25">
      <c r="A37" s="2">
        <v>37987</v>
      </c>
      <c r="B37" s="10">
        <v>9</v>
      </c>
    </row>
    <row r="38" spans="1:2" x14ac:dyDescent="0.25">
      <c r="A38" s="2">
        <v>38353</v>
      </c>
      <c r="B38" s="10">
        <v>9</v>
      </c>
    </row>
    <row r="39" spans="1:2" x14ac:dyDescent="0.25">
      <c r="A39" s="2">
        <v>38718</v>
      </c>
      <c r="B39" s="10">
        <v>9</v>
      </c>
    </row>
    <row r="40" spans="1:2" x14ac:dyDescent="0.25">
      <c r="A40" s="2">
        <v>39083</v>
      </c>
      <c r="B40" s="10">
        <v>9</v>
      </c>
    </row>
    <row r="41" spans="1:2" x14ac:dyDescent="0.25">
      <c r="A41" s="2">
        <v>39448</v>
      </c>
      <c r="B41" s="10">
        <v>9</v>
      </c>
    </row>
    <row r="42" spans="1:2" x14ac:dyDescent="0.25">
      <c r="A42" s="2">
        <v>39814</v>
      </c>
      <c r="B42" s="10">
        <v>9</v>
      </c>
    </row>
    <row r="43" spans="1:2" x14ac:dyDescent="0.25">
      <c r="A43" s="2">
        <v>40179</v>
      </c>
      <c r="B43" s="10">
        <v>9</v>
      </c>
    </row>
    <row r="44" spans="1:2" x14ac:dyDescent="0.25">
      <c r="A44" s="2">
        <v>40544</v>
      </c>
      <c r="B44" s="10">
        <v>8</v>
      </c>
    </row>
    <row r="45" spans="1:2" x14ac:dyDescent="0.25">
      <c r="A45" s="2">
        <v>40909</v>
      </c>
      <c r="B45" s="10">
        <v>8.6</v>
      </c>
    </row>
    <row r="46" spans="1:2" x14ac:dyDescent="0.25">
      <c r="A46" s="2">
        <v>41275</v>
      </c>
      <c r="B46" s="10">
        <v>8.8000000000000007</v>
      </c>
    </row>
    <row r="47" spans="1:2" x14ac:dyDescent="0.25">
      <c r="A47" s="2">
        <v>41640</v>
      </c>
      <c r="B47" s="10">
        <v>8.8000000000000007</v>
      </c>
    </row>
    <row r="48" spans="1:2" x14ac:dyDescent="0.25">
      <c r="A48" s="2">
        <v>42005</v>
      </c>
      <c r="B48" s="10">
        <v>8.8000000000000007</v>
      </c>
    </row>
    <row r="49" spans="1:2" x14ac:dyDescent="0.25">
      <c r="A49" s="2">
        <v>42370</v>
      </c>
      <c r="B49" s="10">
        <v>8.1</v>
      </c>
    </row>
    <row r="50" spans="1:2" x14ac:dyDescent="0.25">
      <c r="A50" s="2">
        <v>42736</v>
      </c>
      <c r="B50" s="10">
        <v>7.8</v>
      </c>
    </row>
    <row r="51" spans="1:2" x14ac:dyDescent="0.25">
      <c r="A51" s="2">
        <v>43101</v>
      </c>
      <c r="B51" s="10">
        <v>7.6</v>
      </c>
    </row>
    <row r="52" spans="1:2" x14ac:dyDescent="0.25">
      <c r="A52" s="2">
        <v>43466</v>
      </c>
      <c r="B52" s="10">
        <v>8</v>
      </c>
    </row>
    <row r="53" spans="1:2" x14ac:dyDescent="0.25">
      <c r="A53" s="2">
        <v>43831</v>
      </c>
      <c r="B53" s="10">
        <v>7.1</v>
      </c>
    </row>
    <row r="54" spans="1:2" x14ac:dyDescent="0.25">
      <c r="A54" s="2">
        <v>44197</v>
      </c>
      <c r="B54" s="10">
        <v>7.1</v>
      </c>
    </row>
    <row r="55" spans="1:2" x14ac:dyDescent="0.25">
      <c r="A55" s="2">
        <v>44562</v>
      </c>
      <c r="B55" s="10">
        <v>7.1</v>
      </c>
    </row>
    <row r="56" spans="1:2" x14ac:dyDescent="0.25">
      <c r="A56" s="2">
        <v>44927</v>
      </c>
      <c r="B56" s="10">
        <v>7.1</v>
      </c>
    </row>
    <row r="57" spans="1:2" x14ac:dyDescent="0.25">
      <c r="A57" s="2">
        <v>45292</v>
      </c>
      <c r="B57" s="10">
        <v>7.1</v>
      </c>
    </row>
    <row r="58" spans="1:2" x14ac:dyDescent="0.25">
      <c r="A58" s="2">
        <v>45658</v>
      </c>
      <c r="B58" s="10">
        <v>7.1</v>
      </c>
    </row>
    <row r="59" spans="1:2" x14ac:dyDescent="0.25">
      <c r="A59" s="2">
        <v>46023</v>
      </c>
      <c r="B59" s="10"/>
    </row>
    <row r="60" spans="1:2" x14ac:dyDescent="0.25">
      <c r="A60" s="2">
        <v>46388</v>
      </c>
      <c r="B60" s="10"/>
    </row>
    <row r="61" spans="1:2" x14ac:dyDescent="0.25">
      <c r="A61" s="2">
        <v>46753</v>
      </c>
      <c r="B61" s="10"/>
    </row>
    <row r="62" spans="1:2" x14ac:dyDescent="0.25">
      <c r="A62" s="2">
        <v>47119</v>
      </c>
      <c r="B62" s="10"/>
    </row>
    <row r="63" spans="1:2" x14ac:dyDescent="0.25">
      <c r="A63" s="2">
        <v>47484</v>
      </c>
      <c r="B63" s="10"/>
    </row>
    <row r="64" spans="1:2" x14ac:dyDescent="0.25">
      <c r="A64" s="2">
        <v>47849</v>
      </c>
      <c r="B64" s="10"/>
    </row>
    <row r="65" spans="1:2" x14ac:dyDescent="0.25">
      <c r="A65" s="2">
        <v>48214</v>
      </c>
      <c r="B65" s="10"/>
    </row>
    <row r="66" spans="1:2" x14ac:dyDescent="0.25">
      <c r="A66" s="2">
        <v>48580</v>
      </c>
      <c r="B66" s="10"/>
    </row>
    <row r="67" spans="1:2" x14ac:dyDescent="0.25">
      <c r="A67" s="2">
        <v>48945</v>
      </c>
      <c r="B67" s="10"/>
    </row>
    <row r="68" spans="1:2" x14ac:dyDescent="0.25">
      <c r="A68" s="2">
        <v>49310</v>
      </c>
      <c r="B68" s="10"/>
    </row>
    <row r="69" spans="1:2" x14ac:dyDescent="0.25">
      <c r="A69" s="2">
        <v>49675</v>
      </c>
      <c r="B69" s="10"/>
    </row>
    <row r="70" spans="1:2" x14ac:dyDescent="0.25">
      <c r="A70" s="2">
        <v>50041</v>
      </c>
      <c r="B70" s="10"/>
    </row>
    <row r="71" spans="1:2" x14ac:dyDescent="0.25">
      <c r="A71" s="2">
        <v>50406</v>
      </c>
      <c r="B71" s="10"/>
    </row>
    <row r="72" spans="1:2" x14ac:dyDescent="0.25">
      <c r="A72" s="2">
        <v>50771</v>
      </c>
      <c r="B72" s="10"/>
    </row>
    <row r="73" spans="1:2" x14ac:dyDescent="0.25">
      <c r="A73" s="2">
        <v>51136</v>
      </c>
      <c r="B73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A3B5-F58F-44E4-A48D-9B6EB1D9E08F}">
  <dimension ref="A1:H73"/>
  <sheetViews>
    <sheetView showGridLines="0" zoomScaleNormal="100" workbookViewId="0">
      <selection activeCell="I13" sqref="I13"/>
    </sheetView>
  </sheetViews>
  <sheetFormatPr defaultRowHeight="15" x14ac:dyDescent="0.25"/>
  <cols>
    <col min="1" max="1" width="10.42578125" bestFit="1" customWidth="1"/>
    <col min="2" max="2" width="12.28515625" customWidth="1"/>
    <col min="3" max="3" width="14.42578125" customWidth="1"/>
    <col min="4" max="5" width="17.5703125" customWidth="1"/>
    <col min="7" max="7" width="10.140625" customWidth="1"/>
    <col min="8" max="8" width="8.28515625" customWidth="1"/>
  </cols>
  <sheetData>
    <row r="1" spans="1:8" s="14" customFormat="1" ht="52.5" customHeight="1" x14ac:dyDescent="0.25">
      <c r="A1" s="16" t="s">
        <v>46</v>
      </c>
      <c r="B1" s="17" t="s">
        <v>2</v>
      </c>
      <c r="C1" s="17" t="s">
        <v>47</v>
      </c>
      <c r="D1" s="17" t="s">
        <v>48</v>
      </c>
      <c r="E1" s="18" t="s">
        <v>49</v>
      </c>
      <c r="F1" s="15"/>
      <c r="G1" s="15" t="s">
        <v>50</v>
      </c>
      <c r="H1" s="15" t="s">
        <v>51</v>
      </c>
    </row>
    <row r="2" spans="1:8" x14ac:dyDescent="0.25">
      <c r="A2" s="1">
        <v>25204</v>
      </c>
      <c r="B2" s="10">
        <v>4.8</v>
      </c>
      <c r="C2" s="10"/>
      <c r="D2" s="10"/>
      <c r="E2" s="19"/>
      <c r="G2" t="s">
        <v>52</v>
      </c>
      <c r="H2" s="13">
        <f>_xlfn.FORECAST.ETS.STAT($B$2:$B$58,$A$2:$A$58,1,0,1)</f>
        <v>0.83333299999999999</v>
      </c>
    </row>
    <row r="3" spans="1:8" x14ac:dyDescent="0.25">
      <c r="A3" s="1">
        <v>25569</v>
      </c>
      <c r="B3" s="10">
        <v>4.8</v>
      </c>
      <c r="C3" s="10"/>
      <c r="D3" s="10"/>
      <c r="E3" s="19"/>
      <c r="G3" t="s">
        <v>53</v>
      </c>
      <c r="H3" s="13">
        <f>_xlfn.FORECAST.ETS.STAT($B$2:$B$58,$A$2:$A$58,2,0,1)</f>
        <v>8.3333299999999999E-2</v>
      </c>
    </row>
    <row r="4" spans="1:8" x14ac:dyDescent="0.25">
      <c r="A4" s="1">
        <v>25934</v>
      </c>
      <c r="B4" s="10">
        <v>5</v>
      </c>
      <c r="C4" s="10"/>
      <c r="D4" s="10"/>
      <c r="E4" s="19"/>
      <c r="G4" t="s">
        <v>54</v>
      </c>
      <c r="H4" s="13">
        <f>_xlfn.FORECAST.ETS.STAT($B$2:$B$58,$A$2:$A$58,3,0,1)</f>
        <v>2.2204460492503131E-16</v>
      </c>
    </row>
    <row r="5" spans="1:8" x14ac:dyDescent="0.25">
      <c r="A5" s="1">
        <v>26299</v>
      </c>
      <c r="B5" s="10">
        <v>5</v>
      </c>
      <c r="C5" s="10"/>
      <c r="D5" s="10"/>
      <c r="E5" s="19"/>
      <c r="G5" t="s">
        <v>55</v>
      </c>
      <c r="H5" s="13">
        <f>_xlfn.FORECAST.ETS.STAT($B$2:$B$58,$A$2:$A$58,4,0,1)</f>
        <v>0.97327540720195094</v>
      </c>
    </row>
    <row r="6" spans="1:8" x14ac:dyDescent="0.25">
      <c r="A6" s="1">
        <v>26665</v>
      </c>
      <c r="B6" s="10">
        <v>5</v>
      </c>
      <c r="C6" s="10"/>
      <c r="D6" s="10"/>
      <c r="E6" s="19"/>
      <c r="G6" t="s">
        <v>56</v>
      </c>
      <c r="H6" s="13">
        <f>_xlfn.FORECAST.ETS.STAT($B$2:$B$58,$A$2:$A$58,5,0,1)</f>
        <v>3.4428630840176423E-2</v>
      </c>
    </row>
    <row r="7" spans="1:8" x14ac:dyDescent="0.25">
      <c r="A7" s="1">
        <v>27030</v>
      </c>
      <c r="B7" s="10">
        <v>5.8</v>
      </c>
      <c r="C7" s="10"/>
      <c r="D7" s="10"/>
      <c r="E7" s="19"/>
      <c r="G7" t="s">
        <v>57</v>
      </c>
      <c r="H7" s="13">
        <f>_xlfn.FORECAST.ETS.STAT($B$2:$B$58,$A$2:$A$58,6,0,1)</f>
        <v>0.26543874741871387</v>
      </c>
    </row>
    <row r="8" spans="1:8" x14ac:dyDescent="0.25">
      <c r="A8" s="1">
        <v>27395</v>
      </c>
      <c r="B8" s="10">
        <v>7</v>
      </c>
      <c r="C8" s="10"/>
      <c r="D8" s="10"/>
      <c r="E8" s="19"/>
      <c r="G8" t="s">
        <v>58</v>
      </c>
      <c r="H8" s="13">
        <f>_xlfn.FORECAST.ETS.STAT($B$2:$B$58,$A$2:$A$58,7,0,1)</f>
        <v>0.34230395238174727</v>
      </c>
    </row>
    <row r="9" spans="1:8" x14ac:dyDescent="0.25">
      <c r="A9" s="1">
        <v>27760</v>
      </c>
      <c r="B9" s="10">
        <v>7</v>
      </c>
      <c r="C9" s="10"/>
      <c r="D9" s="10"/>
      <c r="E9" s="19"/>
    </row>
    <row r="10" spans="1:8" x14ac:dyDescent="0.25">
      <c r="A10" s="1">
        <v>28126</v>
      </c>
      <c r="B10" s="10">
        <v>7</v>
      </c>
      <c r="C10" s="10"/>
      <c r="D10" s="10"/>
      <c r="E10" s="19"/>
    </row>
    <row r="11" spans="1:8" x14ac:dyDescent="0.25">
      <c r="A11" s="1">
        <v>28491</v>
      </c>
      <c r="B11" s="10">
        <v>7.5</v>
      </c>
      <c r="C11" s="10"/>
      <c r="D11" s="10"/>
      <c r="E11" s="19"/>
    </row>
    <row r="12" spans="1:8" x14ac:dyDescent="0.25">
      <c r="A12" s="1">
        <v>28856</v>
      </c>
      <c r="B12" s="10">
        <v>7.5</v>
      </c>
      <c r="C12" s="10"/>
      <c r="D12" s="10"/>
      <c r="E12" s="19"/>
    </row>
    <row r="13" spans="1:8" x14ac:dyDescent="0.25">
      <c r="A13" s="1">
        <v>29221</v>
      </c>
      <c r="B13" s="10">
        <v>7.5</v>
      </c>
      <c r="C13" s="10"/>
      <c r="D13" s="10"/>
      <c r="E13" s="19"/>
    </row>
    <row r="14" spans="1:8" x14ac:dyDescent="0.25">
      <c r="A14" s="1">
        <v>29587</v>
      </c>
      <c r="B14" s="10">
        <v>8</v>
      </c>
      <c r="C14" s="10"/>
      <c r="D14" s="10"/>
      <c r="E14" s="19"/>
    </row>
    <row r="15" spans="1:8" x14ac:dyDescent="0.25">
      <c r="A15" s="1">
        <v>29952</v>
      </c>
      <c r="B15" s="10">
        <v>8.5</v>
      </c>
      <c r="C15" s="10"/>
      <c r="D15" s="10"/>
      <c r="E15" s="19"/>
    </row>
    <row r="16" spans="1:8" x14ac:dyDescent="0.25">
      <c r="A16" s="1">
        <v>30317</v>
      </c>
      <c r="B16" s="10">
        <v>8.5</v>
      </c>
      <c r="C16" s="10"/>
      <c r="D16" s="10"/>
      <c r="E16" s="19"/>
    </row>
    <row r="17" spans="1:5" x14ac:dyDescent="0.25">
      <c r="A17" s="1">
        <v>30682</v>
      </c>
      <c r="B17" s="10">
        <v>9</v>
      </c>
      <c r="C17" s="10"/>
      <c r="D17" s="10"/>
      <c r="E17" s="19"/>
    </row>
    <row r="18" spans="1:5" x14ac:dyDescent="0.25">
      <c r="A18" s="1">
        <v>31048</v>
      </c>
      <c r="B18" s="10">
        <v>9.5</v>
      </c>
      <c r="C18" s="10"/>
      <c r="D18" s="10"/>
      <c r="E18" s="19"/>
    </row>
    <row r="19" spans="1:5" x14ac:dyDescent="0.25">
      <c r="A19" s="1">
        <v>31413</v>
      </c>
      <c r="B19" s="10">
        <v>10</v>
      </c>
      <c r="C19" s="10"/>
      <c r="D19" s="10"/>
      <c r="E19" s="19"/>
    </row>
    <row r="20" spans="1:5" x14ac:dyDescent="0.25">
      <c r="A20" s="1">
        <v>31778</v>
      </c>
      <c r="B20" s="10">
        <v>12</v>
      </c>
      <c r="C20" s="10"/>
      <c r="D20" s="10"/>
      <c r="E20" s="19"/>
    </row>
    <row r="21" spans="1:5" x14ac:dyDescent="0.25">
      <c r="A21" s="1">
        <v>32143</v>
      </c>
      <c r="B21" s="10">
        <v>12</v>
      </c>
      <c r="C21" s="10"/>
      <c r="D21" s="10"/>
      <c r="E21" s="19"/>
    </row>
    <row r="22" spans="1:5" x14ac:dyDescent="0.25">
      <c r="A22" s="1">
        <v>32509</v>
      </c>
      <c r="B22" s="10">
        <v>12</v>
      </c>
      <c r="C22" s="10"/>
      <c r="D22" s="10"/>
      <c r="E22" s="19"/>
    </row>
    <row r="23" spans="1:5" x14ac:dyDescent="0.25">
      <c r="A23" s="1">
        <v>32874</v>
      </c>
      <c r="B23" s="10">
        <v>12</v>
      </c>
      <c r="C23" s="10"/>
      <c r="D23" s="10"/>
      <c r="E23" s="19"/>
    </row>
    <row r="24" spans="1:5" x14ac:dyDescent="0.25">
      <c r="A24" s="1">
        <v>33239</v>
      </c>
      <c r="B24" s="10">
        <v>12</v>
      </c>
      <c r="C24" s="10"/>
      <c r="D24" s="10"/>
      <c r="E24" s="19"/>
    </row>
    <row r="25" spans="1:5" x14ac:dyDescent="0.25">
      <c r="A25" s="1">
        <v>33604</v>
      </c>
      <c r="B25" s="10">
        <v>12</v>
      </c>
      <c r="C25" s="10"/>
      <c r="D25" s="10"/>
      <c r="E25" s="19"/>
    </row>
    <row r="26" spans="1:5" x14ac:dyDescent="0.25">
      <c r="A26" s="1">
        <v>33970</v>
      </c>
      <c r="B26" s="10">
        <v>12</v>
      </c>
      <c r="C26" s="10"/>
      <c r="D26" s="10"/>
      <c r="E26" s="19"/>
    </row>
    <row r="27" spans="1:5" x14ac:dyDescent="0.25">
      <c r="A27" s="1">
        <v>34335</v>
      </c>
      <c r="B27" s="10">
        <v>12</v>
      </c>
      <c r="C27" s="10"/>
      <c r="D27" s="10"/>
      <c r="E27" s="19"/>
    </row>
    <row r="28" spans="1:5" x14ac:dyDescent="0.25">
      <c r="A28" s="1">
        <v>34700</v>
      </c>
      <c r="B28" s="10">
        <v>12</v>
      </c>
      <c r="C28" s="10"/>
      <c r="D28" s="10"/>
      <c r="E28" s="19"/>
    </row>
    <row r="29" spans="1:5" x14ac:dyDescent="0.25">
      <c r="A29" s="1">
        <v>35065</v>
      </c>
      <c r="B29" s="10">
        <v>12</v>
      </c>
      <c r="C29" s="10"/>
      <c r="D29" s="10"/>
      <c r="E29" s="19"/>
    </row>
    <row r="30" spans="1:5" x14ac:dyDescent="0.25">
      <c r="A30" s="1">
        <v>35431</v>
      </c>
      <c r="B30" s="10">
        <v>12</v>
      </c>
      <c r="C30" s="10"/>
      <c r="D30" s="10"/>
      <c r="E30" s="19"/>
    </row>
    <row r="31" spans="1:5" x14ac:dyDescent="0.25">
      <c r="A31" s="1">
        <v>35796</v>
      </c>
      <c r="B31" s="10">
        <v>12</v>
      </c>
      <c r="C31" s="10"/>
      <c r="D31" s="10"/>
      <c r="E31" s="19"/>
    </row>
    <row r="32" spans="1:5" x14ac:dyDescent="0.25">
      <c r="A32" s="1">
        <v>36161</v>
      </c>
      <c r="B32" s="10">
        <v>12</v>
      </c>
      <c r="C32" s="10"/>
      <c r="D32" s="10"/>
      <c r="E32" s="19"/>
    </row>
    <row r="33" spans="1:5" x14ac:dyDescent="0.25">
      <c r="A33" s="1">
        <v>36526</v>
      </c>
      <c r="B33" s="10">
        <v>12</v>
      </c>
      <c r="C33" s="10"/>
      <c r="D33" s="10"/>
      <c r="E33" s="19"/>
    </row>
    <row r="34" spans="1:5" x14ac:dyDescent="0.25">
      <c r="A34" s="1">
        <v>36892</v>
      </c>
      <c r="B34" s="10">
        <v>11</v>
      </c>
      <c r="C34" s="10"/>
      <c r="D34" s="10"/>
      <c r="E34" s="19"/>
    </row>
    <row r="35" spans="1:5" x14ac:dyDescent="0.25">
      <c r="A35" s="1">
        <v>37257</v>
      </c>
      <c r="B35" s="10">
        <v>9.5</v>
      </c>
      <c r="C35" s="10"/>
      <c r="D35" s="10"/>
      <c r="E35" s="19"/>
    </row>
    <row r="36" spans="1:5" x14ac:dyDescent="0.25">
      <c r="A36" s="1">
        <v>37622</v>
      </c>
      <c r="B36" s="10">
        <v>9</v>
      </c>
      <c r="C36" s="10"/>
      <c r="D36" s="10"/>
      <c r="E36" s="19"/>
    </row>
    <row r="37" spans="1:5" x14ac:dyDescent="0.25">
      <c r="A37" s="1">
        <v>37987</v>
      </c>
      <c r="B37" s="10">
        <v>9</v>
      </c>
      <c r="C37" s="10"/>
      <c r="D37" s="10"/>
      <c r="E37" s="19"/>
    </row>
    <row r="38" spans="1:5" x14ac:dyDescent="0.25">
      <c r="A38" s="1">
        <v>38353</v>
      </c>
      <c r="B38" s="10">
        <v>9</v>
      </c>
      <c r="C38" s="10"/>
      <c r="D38" s="10"/>
      <c r="E38" s="19"/>
    </row>
    <row r="39" spans="1:5" x14ac:dyDescent="0.25">
      <c r="A39" s="1">
        <v>38718</v>
      </c>
      <c r="B39" s="10">
        <v>9</v>
      </c>
      <c r="C39" s="10"/>
      <c r="D39" s="10"/>
      <c r="E39" s="19"/>
    </row>
    <row r="40" spans="1:5" x14ac:dyDescent="0.25">
      <c r="A40" s="1">
        <v>39083</v>
      </c>
      <c r="B40" s="10">
        <v>9</v>
      </c>
      <c r="C40" s="10"/>
      <c r="D40" s="10"/>
      <c r="E40" s="19"/>
    </row>
    <row r="41" spans="1:5" x14ac:dyDescent="0.25">
      <c r="A41" s="1">
        <v>39448</v>
      </c>
      <c r="B41" s="10">
        <v>9</v>
      </c>
      <c r="C41" s="10"/>
      <c r="D41" s="10"/>
      <c r="E41" s="19"/>
    </row>
    <row r="42" spans="1:5" x14ac:dyDescent="0.25">
      <c r="A42" s="1">
        <v>39814</v>
      </c>
      <c r="B42" s="10">
        <v>9</v>
      </c>
      <c r="C42" s="10"/>
      <c r="D42" s="10"/>
      <c r="E42" s="19"/>
    </row>
    <row r="43" spans="1:5" x14ac:dyDescent="0.25">
      <c r="A43" s="1">
        <v>40179</v>
      </c>
      <c r="B43" s="10">
        <v>9</v>
      </c>
      <c r="C43" s="10"/>
      <c r="D43" s="10"/>
      <c r="E43" s="19"/>
    </row>
    <row r="44" spans="1:5" x14ac:dyDescent="0.25">
      <c r="A44" s="1">
        <v>40544</v>
      </c>
      <c r="B44" s="10">
        <v>8</v>
      </c>
      <c r="C44" s="10"/>
      <c r="D44" s="10"/>
      <c r="E44" s="19"/>
    </row>
    <row r="45" spans="1:5" x14ac:dyDescent="0.25">
      <c r="A45" s="1">
        <v>40909</v>
      </c>
      <c r="B45" s="10">
        <v>8.6</v>
      </c>
      <c r="C45" s="10"/>
      <c r="D45" s="10"/>
      <c r="E45" s="19"/>
    </row>
    <row r="46" spans="1:5" x14ac:dyDescent="0.25">
      <c r="A46" s="1">
        <v>41275</v>
      </c>
      <c r="B46" s="10">
        <v>8.8000000000000007</v>
      </c>
      <c r="C46" s="10"/>
      <c r="D46" s="10"/>
      <c r="E46" s="19"/>
    </row>
    <row r="47" spans="1:5" x14ac:dyDescent="0.25">
      <c r="A47" s="1">
        <v>41640</v>
      </c>
      <c r="B47" s="10">
        <v>8.8000000000000007</v>
      </c>
      <c r="C47" s="10"/>
      <c r="D47" s="10"/>
      <c r="E47" s="19"/>
    </row>
    <row r="48" spans="1:5" x14ac:dyDescent="0.25">
      <c r="A48" s="1">
        <v>42005</v>
      </c>
      <c r="B48" s="10">
        <v>8.8000000000000007</v>
      </c>
      <c r="C48" s="10"/>
      <c r="D48" s="10"/>
      <c r="E48" s="19"/>
    </row>
    <row r="49" spans="1:5" x14ac:dyDescent="0.25">
      <c r="A49" s="1">
        <v>42370</v>
      </c>
      <c r="B49" s="10">
        <v>8.1</v>
      </c>
      <c r="C49" s="10"/>
      <c r="D49" s="10"/>
      <c r="E49" s="19"/>
    </row>
    <row r="50" spans="1:5" x14ac:dyDescent="0.25">
      <c r="A50" s="1">
        <v>42736</v>
      </c>
      <c r="B50" s="10">
        <v>7.8</v>
      </c>
      <c r="C50" s="10"/>
      <c r="D50" s="10"/>
      <c r="E50" s="19"/>
    </row>
    <row r="51" spans="1:5" x14ac:dyDescent="0.25">
      <c r="A51" s="1">
        <v>43101</v>
      </c>
      <c r="B51" s="10">
        <v>7.6</v>
      </c>
      <c r="C51" s="10"/>
      <c r="D51" s="10"/>
      <c r="E51" s="19"/>
    </row>
    <row r="52" spans="1:5" x14ac:dyDescent="0.25">
      <c r="A52" s="1">
        <v>43466</v>
      </c>
      <c r="B52" s="10">
        <v>8</v>
      </c>
      <c r="C52" s="10"/>
      <c r="D52" s="10"/>
      <c r="E52" s="19"/>
    </row>
    <row r="53" spans="1:5" x14ac:dyDescent="0.25">
      <c r="A53" s="1">
        <v>43831</v>
      </c>
      <c r="B53" s="10">
        <v>7.1</v>
      </c>
      <c r="C53" s="10"/>
      <c r="D53" s="10"/>
      <c r="E53" s="19"/>
    </row>
    <row r="54" spans="1:5" x14ac:dyDescent="0.25">
      <c r="A54" s="1">
        <v>44197</v>
      </c>
      <c r="B54" s="10">
        <v>7.1</v>
      </c>
      <c r="C54" s="10"/>
      <c r="D54" s="10"/>
      <c r="E54" s="19"/>
    </row>
    <row r="55" spans="1:5" x14ac:dyDescent="0.25">
      <c r="A55" s="1">
        <v>44562</v>
      </c>
      <c r="B55" s="10">
        <v>7.1</v>
      </c>
      <c r="C55" s="10"/>
      <c r="D55" s="10"/>
      <c r="E55" s="19"/>
    </row>
    <row r="56" spans="1:5" x14ac:dyDescent="0.25">
      <c r="A56" s="1">
        <v>44927</v>
      </c>
      <c r="B56" s="10">
        <v>7.1</v>
      </c>
      <c r="C56" s="10"/>
      <c r="D56" s="10"/>
      <c r="E56" s="19"/>
    </row>
    <row r="57" spans="1:5" x14ac:dyDescent="0.25">
      <c r="A57" s="1">
        <v>45292</v>
      </c>
      <c r="B57" s="10">
        <v>7.1</v>
      </c>
      <c r="C57" s="10"/>
      <c r="D57" s="10"/>
      <c r="E57" s="19"/>
    </row>
    <row r="58" spans="1:5" x14ac:dyDescent="0.25">
      <c r="A58" s="1">
        <v>45658</v>
      </c>
      <c r="B58" s="10">
        <v>7.1</v>
      </c>
      <c r="C58" s="11">
        <v>7.1</v>
      </c>
      <c r="D58" s="11">
        <v>7.1</v>
      </c>
      <c r="E58" s="20">
        <v>7.1</v>
      </c>
    </row>
    <row r="59" spans="1:5" x14ac:dyDescent="0.25">
      <c r="A59" s="1">
        <v>46023</v>
      </c>
      <c r="B59" s="10"/>
      <c r="C59" s="11">
        <f>_xlfn.FORECAST.ETS(A59,$B$2:$B$58,$A$2:$A$58,0,1)</f>
        <v>6.9722260694168181</v>
      </c>
      <c r="D59" s="11">
        <f>C59-_xlfn.FORECAST.ETS.CONFINT(A59,$B$2:$B$58,$A$2:$A$58,0.95,0,1)</f>
        <v>5.9746315371416587</v>
      </c>
      <c r="E59" s="20">
        <f>C59+_xlfn.FORECAST.ETS.CONFINT(A59,$B$2:$B$58,$A$2:$A$58,0.95,0,1)</f>
        <v>7.9698206016919775</v>
      </c>
    </row>
    <row r="60" spans="1:5" x14ac:dyDescent="0.25">
      <c r="A60" s="1">
        <v>46388</v>
      </c>
      <c r="B60" s="10"/>
      <c r="C60" s="11">
        <f>_xlfn.FORECAST.ETS(A60,$B$2:$B$58,$A$2:$A$58,0,1)</f>
        <v>6.8681476591882324</v>
      </c>
      <c r="D60" s="11">
        <f>C60-_xlfn.FORECAST.ETS.CONFINT(A60,$B$2:$B$58,$A$2:$A$58,0.95,0,1)</f>
        <v>5.5148427048114677</v>
      </c>
      <c r="E60" s="20">
        <f>C60+_xlfn.FORECAST.ETS.CONFINT(A60,$B$2:$B$58,$A$2:$A$58,0.95,0,1)</f>
        <v>8.2214526135649972</v>
      </c>
    </row>
    <row r="61" spans="1:5" x14ac:dyDescent="0.25">
      <c r="A61" s="1">
        <v>46753</v>
      </c>
      <c r="B61" s="10"/>
      <c r="C61" s="11">
        <f>_xlfn.FORECAST.ETS(A61,$B$2:$B$58,$A$2:$A$58,0,1)</f>
        <v>6.7640692489596477</v>
      </c>
      <c r="D61" s="11">
        <f>C61-_xlfn.FORECAST.ETS.CONFINT(A61,$B$2:$B$58,$A$2:$A$58,0.95,0,1)</f>
        <v>5.0828112811836519</v>
      </c>
      <c r="E61" s="20">
        <f>C61+_xlfn.FORECAST.ETS.CONFINT(A61,$B$2:$B$58,$A$2:$A$58,0.95,0,1)</f>
        <v>8.4453272167356435</v>
      </c>
    </row>
    <row r="62" spans="1:5" x14ac:dyDescent="0.25">
      <c r="A62" s="1">
        <v>47119</v>
      </c>
      <c r="B62" s="10"/>
      <c r="C62" s="11">
        <f>_xlfn.FORECAST.ETS(A62,$B$2:$B$58,$A$2:$A$58,0,1)</f>
        <v>6.659990838731062</v>
      </c>
      <c r="D62" s="11">
        <f>C62-_xlfn.FORECAST.ETS.CONFINT(A62,$B$2:$B$58,$A$2:$A$58,0.95,0,1)</f>
        <v>4.6613415061861563</v>
      </c>
      <c r="E62" s="20">
        <f>C62+_xlfn.FORECAST.ETS.CONFINT(A62,$B$2:$B$58,$A$2:$A$58,0.95,0,1)</f>
        <v>8.6586401712759677</v>
      </c>
    </row>
    <row r="63" spans="1:5" x14ac:dyDescent="0.25">
      <c r="A63" s="1">
        <v>47484</v>
      </c>
      <c r="B63" s="10"/>
      <c r="C63" s="11">
        <f>_xlfn.FORECAST.ETS(A63,$B$2:$B$58,$A$2:$A$58,0,1)</f>
        <v>6.5559124285024772</v>
      </c>
      <c r="D63" s="11">
        <f>C63-_xlfn.FORECAST.ETS.CONFINT(A63,$B$2:$B$58,$A$2:$A$58,0.95,0,1)</f>
        <v>4.2430854051380686</v>
      </c>
      <c r="E63" s="20">
        <f>C63+_xlfn.FORECAST.ETS.CONFINT(A63,$B$2:$B$58,$A$2:$A$58,0.95,0,1)</f>
        <v>8.8687394518668867</v>
      </c>
    </row>
    <row r="64" spans="1:5" x14ac:dyDescent="0.25">
      <c r="A64" s="1">
        <v>47849</v>
      </c>
      <c r="B64" s="10"/>
      <c r="C64" s="11">
        <f>_xlfn.FORECAST.ETS(A64,$B$2:$B$58,$A$2:$A$58,0,1)</f>
        <v>6.4518340182738916</v>
      </c>
      <c r="D64" s="11">
        <f>C64-_xlfn.FORECAST.ETS.CONFINT(A64,$B$2:$B$58,$A$2:$A$58,0.95,0,1)</f>
        <v>3.8242572733574125</v>
      </c>
      <c r="E64" s="20">
        <f>C64+_xlfn.FORECAST.ETS.CONFINT(A64,$B$2:$B$58,$A$2:$A$58,0.95,0,1)</f>
        <v>9.0794107631903707</v>
      </c>
    </row>
    <row r="65" spans="1:5" x14ac:dyDescent="0.25">
      <c r="A65" s="1">
        <v>48214</v>
      </c>
      <c r="B65" s="10"/>
      <c r="C65" s="11">
        <f>_xlfn.FORECAST.ETS(A65,$B$2:$B$58,$A$2:$A$58,0,1)</f>
        <v>6.3477556080453068</v>
      </c>
      <c r="D65" s="11">
        <f>C65-_xlfn.FORECAST.ETS.CONFINT(A65,$B$2:$B$58,$A$2:$A$58,0.95,0,1)</f>
        <v>3.4026930577088956</v>
      </c>
      <c r="E65" s="20">
        <f>C65+_xlfn.FORECAST.ETS.CONFINT(A65,$B$2:$B$58,$A$2:$A$58,0.95,0,1)</f>
        <v>9.2928181583817171</v>
      </c>
    </row>
    <row r="66" spans="1:5" x14ac:dyDescent="0.25">
      <c r="A66" s="1">
        <v>48580</v>
      </c>
      <c r="B66" s="10"/>
      <c r="C66" s="11">
        <f>_xlfn.FORECAST.ETS(A66,$B$2:$B$58,$A$2:$A$58,0,1)</f>
        <v>6.2436771978167211</v>
      </c>
      <c r="D66" s="11">
        <f>C66-_xlfn.FORECAST.ETS.CONFINT(A66,$B$2:$B$58,$A$2:$A$58,0.95,0,1)</f>
        <v>2.9770745889037169</v>
      </c>
      <c r="E66" s="20">
        <f>C66+_xlfn.FORECAST.ETS.CONFINT(A66,$B$2:$B$58,$A$2:$A$58,0.95,0,1)</f>
        <v>9.5102798067297254</v>
      </c>
    </row>
    <row r="67" spans="1:5" x14ac:dyDescent="0.25">
      <c r="A67" s="1">
        <v>48945</v>
      </c>
      <c r="B67" s="10"/>
      <c r="C67" s="11">
        <f>_xlfn.FORECAST.ETS(A67,$B$2:$B$58,$A$2:$A$58,0,1)</f>
        <v>6.1395987875881364</v>
      </c>
      <c r="D67" s="11">
        <f>C67-_xlfn.FORECAST.ETS.CONFINT(A67,$B$2:$B$58,$A$2:$A$58,0.95,0,1)</f>
        <v>2.5465667493836648</v>
      </c>
      <c r="E67" s="20">
        <f>C67+_xlfn.FORECAST.ETS.CONFINT(A67,$B$2:$B$58,$A$2:$A$58,0.95,0,1)</f>
        <v>9.732630825792608</v>
      </c>
    </row>
    <row r="68" spans="1:5" x14ac:dyDescent="0.25">
      <c r="A68" s="1">
        <v>49310</v>
      </c>
      <c r="B68" s="10"/>
      <c r="C68" s="11">
        <f>_xlfn.FORECAST.ETS(A68,$B$2:$B$58,$A$2:$A$58,0,1)</f>
        <v>6.0355203773595516</v>
      </c>
      <c r="D68" s="11">
        <f>C68-_xlfn.FORECAST.ETS.CONFINT(A68,$B$2:$B$58,$A$2:$A$58,0.95,0,1)</f>
        <v>2.1106286038119282</v>
      </c>
      <c r="E68" s="20">
        <f>C68+_xlfn.FORECAST.ETS.CONFINT(A68,$B$2:$B$58,$A$2:$A$58,0.95,0,1)</f>
        <v>9.9604121509071746</v>
      </c>
    </row>
    <row r="69" spans="1:5" x14ac:dyDescent="0.25">
      <c r="A69" s="1">
        <v>49675</v>
      </c>
      <c r="B69" s="10"/>
      <c r="C69" s="11">
        <f>_xlfn.FORECAST.ETS(A69,$B$2:$B$58,$A$2:$A$58,0,1)</f>
        <v>5.9314419671309659</v>
      </c>
      <c r="D69" s="11">
        <f>C69-_xlfn.FORECAST.ETS.CONFINT(A69,$B$2:$B$58,$A$2:$A$58,0.95,0,1)</f>
        <v>1.6689071152265846</v>
      </c>
      <c r="E69" s="20">
        <f>C69+_xlfn.FORECAST.ETS.CONFINT(A69,$B$2:$B$58,$A$2:$A$58,0.95,0,1)</f>
        <v>10.193976819035347</v>
      </c>
    </row>
    <row r="70" spans="1:5" x14ac:dyDescent="0.25">
      <c r="A70" s="1">
        <v>50041</v>
      </c>
      <c r="B70" s="10"/>
      <c r="C70" s="11">
        <f>_xlfn.FORECAST.ETS(A70,$B$2:$B$58,$A$2:$A$58,0,1)</f>
        <v>5.8273635569023812</v>
      </c>
      <c r="D70" s="11">
        <f>C70-_xlfn.FORECAST.ETS.CONFINT(A70,$B$2:$B$58,$A$2:$A$58,0.95,0,1)</f>
        <v>1.2211736828171773</v>
      </c>
      <c r="E70" s="20">
        <f>C70+_xlfn.FORECAST.ETS.CONFINT(A70,$B$2:$B$58,$A$2:$A$58,0.95,0,1)</f>
        <v>10.433553430987585</v>
      </c>
    </row>
    <row r="71" spans="1:5" x14ac:dyDescent="0.25">
      <c r="A71" s="1">
        <v>50406</v>
      </c>
      <c r="B71" s="10"/>
      <c r="C71" s="11">
        <f>_xlfn.FORECAST.ETS(A71,$B$2:$B$58,$A$2:$A$58,0,1)</f>
        <v>5.7232851466737955</v>
      </c>
      <c r="D71" s="11">
        <f>C71-_xlfn.FORECAST.ETS.CONFINT(A71,$B$2:$B$58,$A$2:$A$58,0.95,0,1)</f>
        <v>0.76728444540400176</v>
      </c>
      <c r="E71" s="20">
        <f>C71+_xlfn.FORECAST.ETS.CONFINT(A71,$B$2:$B$58,$A$2:$A$58,0.95,0,1)</f>
        <v>10.679285847943589</v>
      </c>
    </row>
    <row r="72" spans="1:5" x14ac:dyDescent="0.25">
      <c r="A72" s="1">
        <v>50771</v>
      </c>
      <c r="B72" s="10"/>
      <c r="C72" s="11">
        <f>_xlfn.FORECAST.ETS(A72,$B$2:$B$58,$A$2:$A$58,0,1)</f>
        <v>5.6192067364452107</v>
      </c>
      <c r="D72" s="11">
        <f>C72-_xlfn.FORECAST.ETS.CONFINT(A72,$B$2:$B$58,$A$2:$A$58,0.95,0,1)</f>
        <v>0.30715450703965441</v>
      </c>
      <c r="E72" s="20">
        <f>C72+_xlfn.FORECAST.ETS.CONFINT(A72,$B$2:$B$58,$A$2:$A$58,0.95,0,1)</f>
        <v>10.931258965850766</v>
      </c>
    </row>
    <row r="73" spans="1:5" x14ac:dyDescent="0.25">
      <c r="A73" s="4">
        <v>51136</v>
      </c>
      <c r="B73" s="21"/>
      <c r="C73" s="22">
        <f>_xlfn.FORECAST.ETS(A73,$B$2:$B$58,$A$2:$A$58,0,1)</f>
        <v>5.515128326216626</v>
      </c>
      <c r="D73" s="22">
        <f>C73-_xlfn.FORECAST.ETS.CONFINT(A73,$B$2:$B$58,$A$2:$A$58,0.95,0,1)</f>
        <v>-0.15925931533649873</v>
      </c>
      <c r="E73" s="23">
        <f>C73+_xlfn.FORECAST.ETS.CONFINT(A73,$B$2:$B$58,$A$2:$A$58,0.95,0,1)</f>
        <v>11.189515967769751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B39A-93B7-40AB-8DFB-AACCB044B649}">
  <dimension ref="A1:B22"/>
  <sheetViews>
    <sheetView showGridLines="0" zoomScale="115" zoomScaleNormal="115" workbookViewId="0">
      <selection activeCell="D1" sqref="D1"/>
    </sheetView>
  </sheetViews>
  <sheetFormatPr defaultRowHeight="15" x14ac:dyDescent="0.25"/>
  <cols>
    <col min="1" max="1" width="12" customWidth="1"/>
    <col min="2" max="2" width="9.7109375" customWidth="1"/>
  </cols>
  <sheetData>
    <row r="1" spans="1:2" ht="36.75" customHeight="1" x14ac:dyDescent="0.25">
      <c r="A1" s="12" t="s">
        <v>45</v>
      </c>
      <c r="B1" s="12" t="s">
        <v>44</v>
      </c>
    </row>
    <row r="2" spans="1:2" x14ac:dyDescent="0.25">
      <c r="A2" s="10">
        <v>12</v>
      </c>
      <c r="B2" s="11">
        <v>14.833333333333334</v>
      </c>
    </row>
    <row r="3" spans="1:2" x14ac:dyDescent="0.25">
      <c r="A3" s="10">
        <v>8</v>
      </c>
      <c r="B3" s="10">
        <v>11</v>
      </c>
    </row>
    <row r="4" spans="1:2" x14ac:dyDescent="0.25">
      <c r="A4" s="10">
        <v>7.1</v>
      </c>
      <c r="B4" s="10">
        <v>5</v>
      </c>
    </row>
    <row r="5" spans="1:2" x14ac:dyDescent="0.25">
      <c r="A5" s="10">
        <v>8.6999999999999993</v>
      </c>
      <c r="B5" s="10">
        <v>3</v>
      </c>
    </row>
    <row r="6" spans="1:2" x14ac:dyDescent="0.25">
      <c r="A6" s="10">
        <v>7.5</v>
      </c>
      <c r="B6" s="10">
        <v>3</v>
      </c>
    </row>
    <row r="7" spans="1:2" x14ac:dyDescent="0.25">
      <c r="A7" s="10">
        <v>7</v>
      </c>
      <c r="B7" s="11">
        <v>2.6666666666666665</v>
      </c>
    </row>
    <row r="8" spans="1:2" x14ac:dyDescent="0.25">
      <c r="A8" s="10">
        <v>9.5</v>
      </c>
      <c r="B8" s="10">
        <v>2</v>
      </c>
    </row>
    <row r="9" spans="1:2" x14ac:dyDescent="0.25">
      <c r="A9" s="10">
        <v>9</v>
      </c>
      <c r="B9" s="10">
        <v>2</v>
      </c>
    </row>
    <row r="10" spans="1:2" x14ac:dyDescent="0.25">
      <c r="A10" s="10">
        <v>8.5</v>
      </c>
      <c r="B10" s="10">
        <v>2</v>
      </c>
    </row>
    <row r="11" spans="1:2" x14ac:dyDescent="0.25">
      <c r="A11" s="10">
        <v>5</v>
      </c>
      <c r="B11" s="10">
        <v>2</v>
      </c>
    </row>
    <row r="12" spans="1:2" x14ac:dyDescent="0.25">
      <c r="A12" s="10">
        <v>4.8</v>
      </c>
      <c r="B12" s="10">
        <v>2</v>
      </c>
    </row>
    <row r="13" spans="1:2" x14ac:dyDescent="0.25">
      <c r="A13" s="10">
        <v>11</v>
      </c>
      <c r="B13" s="11">
        <v>1.1666666666666667</v>
      </c>
    </row>
    <row r="14" spans="1:2" x14ac:dyDescent="0.25">
      <c r="A14" s="10">
        <v>10</v>
      </c>
      <c r="B14" s="10">
        <v>1</v>
      </c>
    </row>
    <row r="15" spans="1:2" x14ac:dyDescent="0.25">
      <c r="A15" s="10">
        <v>8.8000000000000007</v>
      </c>
      <c r="B15" s="10">
        <v>1</v>
      </c>
    </row>
    <row r="16" spans="1:2" x14ac:dyDescent="0.25">
      <c r="A16" s="10">
        <v>7.9</v>
      </c>
      <c r="B16" s="10">
        <v>1</v>
      </c>
    </row>
    <row r="17" spans="1:2" x14ac:dyDescent="0.25">
      <c r="A17" s="10">
        <v>5.3</v>
      </c>
      <c r="B17" s="10">
        <v>1</v>
      </c>
    </row>
    <row r="18" spans="1:2" x14ac:dyDescent="0.25">
      <c r="A18" s="10">
        <v>7.6</v>
      </c>
      <c r="B18" s="10">
        <v>0.75</v>
      </c>
    </row>
    <row r="19" spans="1:2" x14ac:dyDescent="0.25">
      <c r="A19" s="10">
        <v>8.1</v>
      </c>
      <c r="B19" s="10">
        <v>0.5</v>
      </c>
    </row>
    <row r="20" spans="1:2" x14ac:dyDescent="0.25">
      <c r="A20" s="10">
        <v>7.8</v>
      </c>
      <c r="B20" s="10">
        <v>0.5</v>
      </c>
    </row>
    <row r="21" spans="1:2" x14ac:dyDescent="0.25">
      <c r="A21" s="10">
        <v>8.6</v>
      </c>
      <c r="B21" s="11">
        <v>0.33333333333333331</v>
      </c>
    </row>
    <row r="22" spans="1:2" x14ac:dyDescent="0.25">
      <c r="A22" s="10">
        <v>5.8</v>
      </c>
      <c r="B22" s="11">
        <v>0.33333333333333331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4FEA14-D1B4-4070-93D7-60B1240CD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PPF_Int_Rates</vt:lpstr>
      <vt:lpstr>Data</vt:lpstr>
      <vt:lpstr>Forcast</vt:lpstr>
      <vt:lpstr>Other_Graph</vt:lpstr>
      <vt:lpstr>Forcast_Chart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2025-02-20T15:57:51Z</dcterms:created>
  <dcterms:modified xsi:type="dcterms:W3CDTF">2025-03-02T11:49:56Z</dcterms:modified>
</cp:coreProperties>
</file>