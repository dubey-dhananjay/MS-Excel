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76F5D4FD-B9AC-41E4-9BAE-F4670621E522}" xr6:coauthVersionLast="47" xr6:coauthVersionMax="47" xr10:uidLastSave="{00000000-0000-0000-0000-000000000000}"/>
  <bookViews>
    <workbookView xWindow="-120" yWindow="-120" windowWidth="19440" windowHeight="15000" activeTab="1" xr2:uid="{CB06D3B8-A8B2-4EE1-8E2D-F110456E2F4F}"/>
  </bookViews>
  <sheets>
    <sheet name="Data" sheetId="1" r:id="rId1"/>
    <sheet name="Forcast Shee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4" l="1"/>
  <c r="D22" i="4"/>
  <c r="D26" i="4"/>
  <c r="D19" i="4"/>
  <c r="D23" i="4"/>
  <c r="D25" i="4"/>
  <c r="D20" i="4"/>
  <c r="D24" i="4"/>
  <c r="D21" i="4"/>
  <c r="E21" i="4"/>
  <c r="F20" i="4"/>
  <c r="F23" i="4"/>
  <c r="E26" i="4"/>
  <c r="E18" i="4"/>
  <c r="E20" i="4"/>
  <c r="E23" i="4"/>
  <c r="F26" i="4"/>
  <c r="F18" i="4"/>
  <c r="E25" i="4"/>
  <c r="E22" i="4"/>
  <c r="F25" i="4"/>
  <c r="E19" i="4"/>
  <c r="F21" i="4"/>
  <c r="F24" i="4"/>
  <c r="F19" i="4"/>
  <c r="E24" i="4"/>
  <c r="F22" i="4"/>
</calcChain>
</file>

<file path=xl/sharedStrings.xml><?xml version="1.0" encoding="utf-8"?>
<sst xmlns="http://schemas.openxmlformats.org/spreadsheetml/2006/main" count="7" uniqueCount="5">
  <si>
    <t>Sales</t>
  </si>
  <si>
    <t>Dates</t>
  </si>
  <si>
    <t>Forecast (Sales)</t>
  </si>
  <si>
    <t>Lower Confidence Bound (Sales)</t>
  </si>
  <si>
    <t>Upper Confidence Bound (Sales)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</si>
</sst>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14" fontId="1" fillId="0" borderId="1" xfId="0" applyNumberFormat="1" applyFont="1" applyBorder="1" applyAlignment="1">
      <alignment horizontal="right"/>
    </xf>
    <xf numFmtId="0" fontId="1" fillId="0" borderId="1" xfId="0" applyFont="1" applyBorder="1"/>
    <xf numFmtId="8" fontId="1" fillId="0" borderId="1" xfId="0" applyNumberFormat="1" applyFont="1" applyBorder="1"/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4" fontId="0" fillId="0" borderId="7" xfId="0" applyNumberFormat="1" applyBorder="1"/>
    <xf numFmtId="8" fontId="0" fillId="0" borderId="1" xfId="0" applyNumberFormat="1" applyBorder="1"/>
    <xf numFmtId="0" fontId="0" fillId="0" borderId="1" xfId="0" applyBorder="1"/>
    <xf numFmtId="0" fontId="0" fillId="0" borderId="8" xfId="0" applyBorder="1"/>
    <xf numFmtId="8" fontId="0" fillId="0" borderId="8" xfId="0" applyNumberFormat="1" applyBorder="1"/>
    <xf numFmtId="14" fontId="0" fillId="0" borderId="3" xfId="0" applyNumberFormat="1" applyBorder="1"/>
    <xf numFmtId="0" fontId="0" fillId="0" borderId="9" xfId="0" applyBorder="1"/>
    <xf numFmtId="8" fontId="0" fillId="0" borderId="9" xfId="0" applyNumberFormat="1" applyBorder="1"/>
    <xf numFmtId="8" fontId="0" fillId="0" borderId="2" xfId="0" applyNumberFormat="1" applyBorder="1"/>
  </cellXfs>
  <cellStyles count="1">
    <cellStyle name="Normal" xfId="0" builtinId="0"/>
  </cellStyles>
  <dxfs count="9"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2" formatCode="&quot;₹&quot;\ #,##0.00;[Red]&quot;₹&quot;\ \-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2" formatCode="&quot;₹&quot;\ #,##0.00;[Red]&quot;₹&quot;\ \-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2" formatCode="&quot;₹&quot;\ #,##0.00;[Red]&quot;₹&quot;\ \-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'Forcast Sheet'!$C$2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'Forcast Sheet'!$C$3:$C$26</c:f>
              <c:numCache>
                <c:formatCode>"₹"#,##0.00_);[Red]\("₹"#,##0.00\)</c:formatCode>
                <c:ptCount val="24"/>
                <c:pt idx="0">
                  <c:v>3591</c:v>
                </c:pt>
                <c:pt idx="1">
                  <c:v>3511</c:v>
                </c:pt>
                <c:pt idx="2">
                  <c:v>3523</c:v>
                </c:pt>
                <c:pt idx="3">
                  <c:v>4110</c:v>
                </c:pt>
                <c:pt idx="4">
                  <c:v>2112</c:v>
                </c:pt>
                <c:pt idx="5">
                  <c:v>3410</c:v>
                </c:pt>
                <c:pt idx="6">
                  <c:v>9148</c:v>
                </c:pt>
                <c:pt idx="7">
                  <c:v>3154</c:v>
                </c:pt>
                <c:pt idx="8">
                  <c:v>4113</c:v>
                </c:pt>
                <c:pt idx="9">
                  <c:v>3026</c:v>
                </c:pt>
                <c:pt idx="10">
                  <c:v>4245</c:v>
                </c:pt>
                <c:pt idx="11">
                  <c:v>3268</c:v>
                </c:pt>
                <c:pt idx="12">
                  <c:v>4218</c:v>
                </c:pt>
                <c:pt idx="13">
                  <c:v>3496</c:v>
                </c:pt>
                <c:pt idx="14">
                  <c:v>2911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D6-4C72-91C4-A4F7EA05D6CF}"/>
            </c:ext>
          </c:extLst>
        </c:ser>
        <c:ser>
          <c:idx val="1"/>
          <c:order val="1"/>
          <c:tx>
            <c:strRef>
              <c:f>'Forcast Sheet'!$D$2</c:f>
              <c:strCache>
                <c:ptCount val="1"/>
                <c:pt idx="0">
                  <c:v>Forecast (Sales)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'Forcast Sheet'!$B$3:$B$26</c:f>
              <c:numCache>
                <c:formatCode>m/d/yyyy</c:formatCode>
                <c:ptCount val="24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</c:numCache>
            </c:numRef>
          </c:cat>
          <c:val>
            <c:numRef>
              <c:f>'Forcast Sheet'!$D$3:$D$26</c:f>
              <c:numCache>
                <c:formatCode>General</c:formatCode>
                <c:ptCount val="24"/>
                <c:pt idx="14" formatCode="&quot;₹&quot;#,##0.00_);[Red]\(&quot;₹&quot;#,##0.00\)">
                  <c:v>2911</c:v>
                </c:pt>
                <c:pt idx="15" formatCode="&quot;₹&quot;#,##0.00_);[Red]\(&quot;₹&quot;#,##0.00\)">
                  <c:v>3422.8574423406644</c:v>
                </c:pt>
                <c:pt idx="16" formatCode="&quot;₹&quot;#,##0.00_);[Red]\(&quot;₹&quot;#,##0.00\)">
                  <c:v>3413.3421193902345</c:v>
                </c:pt>
                <c:pt idx="17" formatCode="&quot;₹&quot;#,##0.00_);[Red]\(&quot;₹&quot;#,##0.00\)">
                  <c:v>3403.826796439801</c:v>
                </c:pt>
                <c:pt idx="18" formatCode="&quot;₹&quot;#,##0.00_);[Red]\(&quot;₹&quot;#,##0.00\)">
                  <c:v>3394.3114734893711</c:v>
                </c:pt>
                <c:pt idx="19" formatCode="&quot;₹&quot;#,##0.00_);[Red]\(&quot;₹&quot;#,##0.00\)">
                  <c:v>3384.7961505389376</c:v>
                </c:pt>
                <c:pt idx="20" formatCode="&quot;₹&quot;#,##0.00_);[Red]\(&quot;₹&quot;#,##0.00\)">
                  <c:v>3375.2808275885077</c:v>
                </c:pt>
                <c:pt idx="21" formatCode="&quot;₹&quot;#,##0.00_);[Red]\(&quot;₹&quot;#,##0.00\)">
                  <c:v>3365.7655046380742</c:v>
                </c:pt>
                <c:pt idx="22" formatCode="&quot;₹&quot;#,##0.00_);[Red]\(&quot;₹&quot;#,##0.00\)">
                  <c:v>3356.2501816876443</c:v>
                </c:pt>
                <c:pt idx="23" formatCode="&quot;₹&quot;#,##0.00_);[Red]\(&quot;₹&quot;#,##0.00\)">
                  <c:v>3346.7348587372107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D6-4C72-91C4-A4F7EA05D6CF}"/>
            </c:ext>
          </c:extLst>
        </c:ser>
        <c:ser>
          <c:idx val="2"/>
          <c:order val="2"/>
          <c:tx>
            <c:strRef>
              <c:f>'Forcast Sheet'!$E$2</c:f>
              <c:strCache>
                <c:ptCount val="1"/>
                <c:pt idx="0">
                  <c:v>Lower Confidence Bound (Sales)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'Forcast Sheet'!$B$3:$B$26</c:f>
              <c:numCache>
                <c:formatCode>m/d/yyyy</c:formatCode>
                <c:ptCount val="24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</c:numCache>
            </c:numRef>
          </c:cat>
          <c:val>
            <c:numRef>
              <c:f>'Forcast Sheet'!$E$3:$E$26</c:f>
              <c:numCache>
                <c:formatCode>General</c:formatCode>
                <c:ptCount val="24"/>
                <c:pt idx="14" formatCode="&quot;₹&quot;#,##0.00_);[Red]\(&quot;₹&quot;#,##0.00\)">
                  <c:v>2911</c:v>
                </c:pt>
                <c:pt idx="15" formatCode="&quot;₹&quot;#,##0.00_);[Red]\(&quot;₹&quot;#,##0.00\)">
                  <c:v>365.69959915604113</c:v>
                </c:pt>
                <c:pt idx="16" formatCode="&quot;₹&quot;#,##0.00_);[Red]\(&quot;₹&quot;#,##0.00\)">
                  <c:v>356.17051902627054</c:v>
                </c:pt>
                <c:pt idx="17" formatCode="&quot;₹&quot;#,##0.00_);[Red]\(&quot;₹&quot;#,##0.00\)">
                  <c:v>346.6307390209754</c:v>
                </c:pt>
                <c:pt idx="18" formatCode="&quot;₹&quot;#,##0.00_);[Red]\(&quot;₹&quot;#,##0.00\)">
                  <c:v>337.07720231400617</c:v>
                </c:pt>
                <c:pt idx="19" formatCode="&quot;₹&quot;#,##0.00_);[Red]\(&quot;₹&quot;#,##0.00\)">
                  <c:v>327.50685239327822</c:v>
                </c:pt>
                <c:pt idx="20" formatCode="&quot;₹&quot;#,##0.00_);[Red]\(&quot;₹&quot;#,##0.00\)">
                  <c:v>317.91663321358737</c:v>
                </c:pt>
                <c:pt idx="21" formatCode="&quot;₹&quot;#,##0.00_);[Red]\(&quot;₹&quot;#,##0.00\)">
                  <c:v>308.30348937986173</c:v>
                </c:pt>
                <c:pt idx="22" formatCode="&quot;₹&quot;#,##0.00_);[Red]\(&quot;₹&quot;#,##0.00\)">
                  <c:v>298.6643663609284</c:v>
                </c:pt>
                <c:pt idx="23" formatCode="&quot;₹&quot;#,##0.00_);[Red]\(&quot;₹&quot;#,##0.00\)">
                  <c:v>288.99621073359913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D6-4C72-91C4-A4F7EA05D6CF}"/>
            </c:ext>
          </c:extLst>
        </c:ser>
        <c:ser>
          <c:idx val="3"/>
          <c:order val="3"/>
          <c:tx>
            <c:strRef>
              <c:f>'Forcast Sheet'!$F$2</c:f>
              <c:strCache>
                <c:ptCount val="1"/>
                <c:pt idx="0">
                  <c:v>Upper Confidence Bound (Sales)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'Forcast Sheet'!$B$3:$B$26</c:f>
              <c:numCache>
                <c:formatCode>m/d/yyyy</c:formatCode>
                <c:ptCount val="24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</c:numCache>
            </c:numRef>
          </c:cat>
          <c:val>
            <c:numRef>
              <c:f>'Forcast Sheet'!$F$3:$F$26</c:f>
              <c:numCache>
                <c:formatCode>General</c:formatCode>
                <c:ptCount val="24"/>
                <c:pt idx="14" formatCode="&quot;₹&quot;#,##0.00_);[Red]\(&quot;₹&quot;#,##0.00\)">
                  <c:v>2911</c:v>
                </c:pt>
                <c:pt idx="15" formatCode="&quot;₹&quot;#,##0.00_);[Red]\(&quot;₹&quot;#,##0.00\)">
                  <c:v>6480.0152855252873</c:v>
                </c:pt>
                <c:pt idx="16" formatCode="&quot;₹&quot;#,##0.00_);[Red]\(&quot;₹&quot;#,##0.00\)">
                  <c:v>6470.513719754199</c:v>
                </c:pt>
                <c:pt idx="17" formatCode="&quot;₹&quot;#,##0.00_);[Red]\(&quot;₹&quot;#,##0.00\)">
                  <c:v>6461.0228538586271</c:v>
                </c:pt>
                <c:pt idx="18" formatCode="&quot;₹&quot;#,##0.00_);[Red]\(&quot;₹&quot;#,##0.00\)">
                  <c:v>6451.545744664736</c:v>
                </c:pt>
                <c:pt idx="19" formatCode="&quot;₹&quot;#,##0.00_);[Red]\(&quot;₹&quot;#,##0.00\)">
                  <c:v>6442.0854486845965</c:v>
                </c:pt>
                <c:pt idx="20" formatCode="&quot;₹&quot;#,##0.00_);[Red]\(&quot;₹&quot;#,##0.00\)">
                  <c:v>6432.645021963428</c:v>
                </c:pt>
                <c:pt idx="21" formatCode="&quot;₹&quot;#,##0.00_);[Red]\(&quot;₹&quot;#,##0.00\)">
                  <c:v>6423.227519896287</c:v>
                </c:pt>
                <c:pt idx="22" formatCode="&quot;₹&quot;#,##0.00_);[Red]\(&quot;₹&quot;#,##0.00\)">
                  <c:v>6413.8359970143601</c:v>
                </c:pt>
                <c:pt idx="23" formatCode="&quot;₹&quot;#,##0.00_);[Red]\(&quot;₹&quot;#,##0.00\)">
                  <c:v>6404.4735067408219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AD6-4C72-91C4-A4F7EA05D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853535"/>
        <c:axId val="123854975"/>
      </c:lineChart>
      <c:catAx>
        <c:axId val="123853535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54975"/>
        <c:crosses val="autoZero"/>
        <c:auto val="1"/>
        <c:lblAlgn val="ctr"/>
        <c:lblOffset val="100"/>
        <c:noMultiLvlLbl val="0"/>
      </c:catAx>
      <c:valAx>
        <c:axId val="123854975"/>
        <c:scaling>
          <c:orientation val="minMax"/>
        </c:scaling>
        <c:delete val="0"/>
        <c:axPos val="l"/>
        <c:numFmt formatCode="&quot;₹&quot;#,##0.00_);[Red]\(&quot;₹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53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171450</xdr:colOff>
      <xdr:row>6</xdr:row>
      <xdr:rowOff>47625</xdr:rowOff>
    </xdr:from>
    <xdr:to>
      <xdr:col>16</xdr:col>
      <xdr:colOff>209550</xdr:colOff>
      <xdr:row>26</xdr:row>
      <xdr:rowOff>33336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7C8B80-B310-A7BF-73EC-0585AC5EC8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6A506D1-B2DA-46EC-9972-B4870474DD4B}" name="Table3" displayName="Table3" ref="B2:F26" totalsRowShown="0" headerRowDxfId="0" headerRowBorderDxfId="7" tableBorderDxfId="8" totalsRowBorderDxfId="6">
  <autoFilter ref="B2:F26" xr:uid="{66A506D1-B2DA-46EC-9972-B4870474DD4B}"/>
  <tableColumns count="5">
    <tableColumn id="1" xr3:uid="{F58B6372-A340-4F30-8D4A-B93E746E6E81}" name="Dates" dataDxfId="5"/>
    <tableColumn id="2" xr3:uid="{96E19C2B-C4B4-4DD4-82C1-38CB5E31E245}" name="Sales" dataDxfId="4"/>
    <tableColumn id="3" xr3:uid="{EFE85D28-D398-4676-8624-A261FF6F00C2}" name="Forecast (Sales)" dataDxfId="3">
      <calculatedColumnFormula>_xlfn.FORECAST.ETS(B3,$C$3:$C$17,$B$3:$B$17,1,1)</calculatedColumnFormula>
    </tableColumn>
    <tableColumn id="4" xr3:uid="{50A9CA01-9C50-4804-A21B-4386ADAA1C09}" name="Lower Confidence Bound (Sales)" dataDxfId="2">
      <calculatedColumnFormula>D3-_xlfn.FORECAST.ETS.CONFINT(B3,$C$3:$C$17,$B$3:$B$17,0.95,1,1)</calculatedColumnFormula>
    </tableColumn>
    <tableColumn id="5" xr3:uid="{13504A79-D890-4F26-B10E-C75FBB48E1C7}" name="Upper Confidence Bound (Sales)" dataDxfId="1">
      <calculatedColumnFormula>D3+_xlfn.FORECAST.ETS.CONFINT(B3,$C$3:$C$17,$B$3:$B$17,0.95,1,1)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EDBD1-9674-4956-AACA-772BC6F46E14}">
  <dimension ref="B2:C26"/>
  <sheetViews>
    <sheetView zoomScale="115" zoomScaleNormal="115" workbookViewId="0">
      <selection activeCell="C29" sqref="C29"/>
    </sheetView>
  </sheetViews>
  <sheetFormatPr defaultRowHeight="15" x14ac:dyDescent="0.25"/>
  <cols>
    <col min="1" max="1" width="5.7109375" customWidth="1"/>
    <col min="2" max="2" width="11.28515625" bestFit="1" customWidth="1"/>
    <col min="3" max="3" width="12.7109375" customWidth="1"/>
  </cols>
  <sheetData>
    <row r="2" spans="2:3" x14ac:dyDescent="0.25">
      <c r="B2" s="4" t="s">
        <v>1</v>
      </c>
      <c r="C2" s="5" t="s">
        <v>0</v>
      </c>
    </row>
    <row r="3" spans="2:3" x14ac:dyDescent="0.25">
      <c r="B3" s="1">
        <v>45658</v>
      </c>
      <c r="C3" s="3">
        <v>3591</v>
      </c>
    </row>
    <row r="4" spans="2:3" x14ac:dyDescent="0.25">
      <c r="B4" s="1">
        <v>45659</v>
      </c>
      <c r="C4" s="3">
        <v>3511</v>
      </c>
    </row>
    <row r="5" spans="2:3" x14ac:dyDescent="0.25">
      <c r="B5" s="1">
        <v>45660</v>
      </c>
      <c r="C5" s="3">
        <v>3523</v>
      </c>
    </row>
    <row r="6" spans="2:3" x14ac:dyDescent="0.25">
      <c r="B6" s="1">
        <v>45661</v>
      </c>
      <c r="C6" s="3">
        <v>4110</v>
      </c>
    </row>
    <row r="7" spans="2:3" x14ac:dyDescent="0.25">
      <c r="B7" s="1">
        <v>45662</v>
      </c>
      <c r="C7" s="3">
        <v>2112</v>
      </c>
    </row>
    <row r="8" spans="2:3" x14ac:dyDescent="0.25">
      <c r="B8" s="1">
        <v>45663</v>
      </c>
      <c r="C8" s="3">
        <v>3410</v>
      </c>
    </row>
    <row r="9" spans="2:3" x14ac:dyDescent="0.25">
      <c r="B9" s="1">
        <v>45664</v>
      </c>
      <c r="C9" s="3">
        <v>9148</v>
      </c>
    </row>
    <row r="10" spans="2:3" x14ac:dyDescent="0.25">
      <c r="B10" s="1">
        <v>45665</v>
      </c>
      <c r="C10" s="3">
        <v>3154</v>
      </c>
    </row>
    <row r="11" spans="2:3" x14ac:dyDescent="0.25">
      <c r="B11" s="1">
        <v>45666</v>
      </c>
      <c r="C11" s="3">
        <v>4113</v>
      </c>
    </row>
    <row r="12" spans="2:3" x14ac:dyDescent="0.25">
      <c r="B12" s="1">
        <v>45667</v>
      </c>
      <c r="C12" s="3">
        <v>3026</v>
      </c>
    </row>
    <row r="13" spans="2:3" x14ac:dyDescent="0.25">
      <c r="B13" s="1">
        <v>45668</v>
      </c>
      <c r="C13" s="3">
        <v>4245</v>
      </c>
    </row>
    <row r="14" spans="2:3" x14ac:dyDescent="0.25">
      <c r="B14" s="1">
        <v>45669</v>
      </c>
      <c r="C14" s="3">
        <v>3268</v>
      </c>
    </row>
    <row r="15" spans="2:3" x14ac:dyDescent="0.25">
      <c r="B15" s="1">
        <v>45670</v>
      </c>
      <c r="C15" s="3">
        <v>4218</v>
      </c>
    </row>
    <row r="16" spans="2:3" x14ac:dyDescent="0.25">
      <c r="B16" s="1">
        <v>45671</v>
      </c>
      <c r="C16" s="3">
        <v>3496</v>
      </c>
    </row>
    <row r="17" spans="2:3" x14ac:dyDescent="0.25">
      <c r="B17" s="1">
        <v>45672</v>
      </c>
      <c r="C17" s="3">
        <v>2911</v>
      </c>
    </row>
    <row r="18" spans="2:3" x14ac:dyDescent="0.25">
      <c r="B18" s="1">
        <v>45673</v>
      </c>
      <c r="C18" s="3"/>
    </row>
    <row r="19" spans="2:3" x14ac:dyDescent="0.25">
      <c r="B19" s="1">
        <v>45674</v>
      </c>
      <c r="C19" s="3"/>
    </row>
    <row r="20" spans="2:3" x14ac:dyDescent="0.25">
      <c r="B20" s="1">
        <v>45675</v>
      </c>
      <c r="C20" s="3"/>
    </row>
    <row r="21" spans="2:3" x14ac:dyDescent="0.25">
      <c r="B21" s="1">
        <v>45676</v>
      </c>
      <c r="C21" s="2"/>
    </row>
    <row r="22" spans="2:3" x14ac:dyDescent="0.25">
      <c r="B22" s="1">
        <v>45677</v>
      </c>
      <c r="C22" s="2"/>
    </row>
    <row r="23" spans="2:3" x14ac:dyDescent="0.25">
      <c r="B23" s="1">
        <v>45678</v>
      </c>
      <c r="C23" s="2"/>
    </row>
    <row r="24" spans="2:3" x14ac:dyDescent="0.25">
      <c r="B24" s="1">
        <v>45679</v>
      </c>
      <c r="C24" s="2"/>
    </row>
    <row r="25" spans="2:3" x14ac:dyDescent="0.25">
      <c r="B25" s="1">
        <v>45680</v>
      </c>
      <c r="C25" s="2"/>
    </row>
    <row r="26" spans="2:3" x14ac:dyDescent="0.25">
      <c r="B26" s="1">
        <v>45681</v>
      </c>
      <c r="C2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8A1A3-99A1-45ED-AA5A-F7A9F655CB0E}">
  <dimension ref="B2:F26"/>
  <sheetViews>
    <sheetView showGridLines="0" tabSelected="1" workbookViewId="0">
      <selection activeCell="F31" sqref="F31"/>
    </sheetView>
  </sheetViews>
  <sheetFormatPr defaultRowHeight="15" x14ac:dyDescent="0.25"/>
  <cols>
    <col min="1" max="1" width="5" customWidth="1"/>
    <col min="2" max="2" width="10.42578125" bestFit="1" customWidth="1"/>
    <col min="3" max="3" width="9.7109375" bestFit="1" customWidth="1"/>
    <col min="4" max="4" width="11.85546875" customWidth="1"/>
    <col min="5" max="6" width="19" customWidth="1"/>
  </cols>
  <sheetData>
    <row r="2" spans="2:6" s="6" customFormat="1" ht="31.5" customHeight="1" x14ac:dyDescent="0.25">
      <c r="B2" s="7" t="s">
        <v>1</v>
      </c>
      <c r="C2" s="8" t="s">
        <v>0</v>
      </c>
      <c r="D2" s="8" t="s">
        <v>2</v>
      </c>
      <c r="E2" s="8" t="s">
        <v>3</v>
      </c>
      <c r="F2" s="9" t="s">
        <v>4</v>
      </c>
    </row>
    <row r="3" spans="2:6" x14ac:dyDescent="0.25">
      <c r="B3" s="10">
        <v>45658</v>
      </c>
      <c r="C3" s="11">
        <v>3591</v>
      </c>
      <c r="D3" s="12"/>
      <c r="E3" s="12"/>
      <c r="F3" s="13"/>
    </row>
    <row r="4" spans="2:6" x14ac:dyDescent="0.25">
      <c r="B4" s="10">
        <v>45659</v>
      </c>
      <c r="C4" s="11">
        <v>3511</v>
      </c>
      <c r="D4" s="12"/>
      <c r="E4" s="12"/>
      <c r="F4" s="13"/>
    </row>
    <row r="5" spans="2:6" x14ac:dyDescent="0.25">
      <c r="B5" s="10">
        <v>45660</v>
      </c>
      <c r="C5" s="11">
        <v>3523</v>
      </c>
      <c r="D5" s="12"/>
      <c r="E5" s="12"/>
      <c r="F5" s="13"/>
    </row>
    <row r="6" spans="2:6" x14ac:dyDescent="0.25">
      <c r="B6" s="10">
        <v>45661</v>
      </c>
      <c r="C6" s="11">
        <v>4110</v>
      </c>
      <c r="D6" s="12"/>
      <c r="E6" s="12"/>
      <c r="F6" s="13"/>
    </row>
    <row r="7" spans="2:6" x14ac:dyDescent="0.25">
      <c r="B7" s="10">
        <v>45662</v>
      </c>
      <c r="C7" s="11">
        <v>2112</v>
      </c>
      <c r="D7" s="12"/>
      <c r="E7" s="12"/>
      <c r="F7" s="13"/>
    </row>
    <row r="8" spans="2:6" x14ac:dyDescent="0.25">
      <c r="B8" s="10">
        <v>45663</v>
      </c>
      <c r="C8" s="11">
        <v>3410</v>
      </c>
      <c r="D8" s="12"/>
      <c r="E8" s="12"/>
      <c r="F8" s="13"/>
    </row>
    <row r="9" spans="2:6" x14ac:dyDescent="0.25">
      <c r="B9" s="10">
        <v>45664</v>
      </c>
      <c r="C9" s="11">
        <v>9148</v>
      </c>
      <c r="D9" s="12"/>
      <c r="E9" s="12"/>
      <c r="F9" s="13"/>
    </row>
    <row r="10" spans="2:6" x14ac:dyDescent="0.25">
      <c r="B10" s="10">
        <v>45665</v>
      </c>
      <c r="C10" s="11">
        <v>3154</v>
      </c>
      <c r="D10" s="12"/>
      <c r="E10" s="12"/>
      <c r="F10" s="13"/>
    </row>
    <row r="11" spans="2:6" x14ac:dyDescent="0.25">
      <c r="B11" s="10">
        <v>45666</v>
      </c>
      <c r="C11" s="11">
        <v>4113</v>
      </c>
      <c r="D11" s="12"/>
      <c r="E11" s="12"/>
      <c r="F11" s="13"/>
    </row>
    <row r="12" spans="2:6" x14ac:dyDescent="0.25">
      <c r="B12" s="10">
        <v>45667</v>
      </c>
      <c r="C12" s="11">
        <v>3026</v>
      </c>
      <c r="D12" s="12"/>
      <c r="E12" s="12"/>
      <c r="F12" s="13"/>
    </row>
    <row r="13" spans="2:6" x14ac:dyDescent="0.25">
      <c r="B13" s="10">
        <v>45668</v>
      </c>
      <c r="C13" s="11">
        <v>4245</v>
      </c>
      <c r="D13" s="12"/>
      <c r="E13" s="12"/>
      <c r="F13" s="13"/>
    </row>
    <row r="14" spans="2:6" x14ac:dyDescent="0.25">
      <c r="B14" s="10">
        <v>45669</v>
      </c>
      <c r="C14" s="11">
        <v>3268</v>
      </c>
      <c r="D14" s="12"/>
      <c r="E14" s="12"/>
      <c r="F14" s="13"/>
    </row>
    <row r="15" spans="2:6" x14ac:dyDescent="0.25">
      <c r="B15" s="10">
        <v>45670</v>
      </c>
      <c r="C15" s="11">
        <v>4218</v>
      </c>
      <c r="D15" s="12"/>
      <c r="E15" s="12"/>
      <c r="F15" s="13"/>
    </row>
    <row r="16" spans="2:6" x14ac:dyDescent="0.25">
      <c r="B16" s="10">
        <v>45671</v>
      </c>
      <c r="C16" s="11">
        <v>3496</v>
      </c>
      <c r="D16" s="12"/>
      <c r="E16" s="12"/>
      <c r="F16" s="13"/>
    </row>
    <row r="17" spans="2:6" x14ac:dyDescent="0.25">
      <c r="B17" s="10">
        <v>45672</v>
      </c>
      <c r="C17" s="11">
        <v>2911</v>
      </c>
      <c r="D17" s="11">
        <v>2911</v>
      </c>
      <c r="E17" s="11">
        <v>2911</v>
      </c>
      <c r="F17" s="14">
        <v>2911</v>
      </c>
    </row>
    <row r="18" spans="2:6" x14ac:dyDescent="0.25">
      <c r="B18" s="10">
        <v>45673</v>
      </c>
      <c r="C18" s="12"/>
      <c r="D18" s="11">
        <f>_xlfn.FORECAST.ETS(B18,$C$3:$C$17,$B$3:$B$17,1,1)</f>
        <v>3422.8574423406644</v>
      </c>
      <c r="E18" s="11">
        <f>D18-_xlfn.FORECAST.ETS.CONFINT(B18,$C$3:$C$17,$B$3:$B$17,0.95,1,1)</f>
        <v>365.69959915604113</v>
      </c>
      <c r="F18" s="14">
        <f>D18+_xlfn.FORECAST.ETS.CONFINT(B18,$C$3:$C$17,$B$3:$B$17,0.95,1,1)</f>
        <v>6480.0152855252873</v>
      </c>
    </row>
    <row r="19" spans="2:6" x14ac:dyDescent="0.25">
      <c r="B19" s="10">
        <v>45674</v>
      </c>
      <c r="C19" s="12"/>
      <c r="D19" s="11">
        <f>_xlfn.FORECAST.ETS(B19,$C$3:$C$17,$B$3:$B$17,1,1)</f>
        <v>3413.3421193902345</v>
      </c>
      <c r="E19" s="11">
        <f>D19-_xlfn.FORECAST.ETS.CONFINT(B19,$C$3:$C$17,$B$3:$B$17,0.95,1,1)</f>
        <v>356.17051902627054</v>
      </c>
      <c r="F19" s="14">
        <f>D19+_xlfn.FORECAST.ETS.CONFINT(B19,$C$3:$C$17,$B$3:$B$17,0.95,1,1)</f>
        <v>6470.513719754199</v>
      </c>
    </row>
    <row r="20" spans="2:6" x14ac:dyDescent="0.25">
      <c r="B20" s="10">
        <v>45675</v>
      </c>
      <c r="C20" s="12"/>
      <c r="D20" s="11">
        <f>_xlfn.FORECAST.ETS(B20,$C$3:$C$17,$B$3:$B$17,1,1)</f>
        <v>3403.826796439801</v>
      </c>
      <c r="E20" s="11">
        <f>D20-_xlfn.FORECAST.ETS.CONFINT(B20,$C$3:$C$17,$B$3:$B$17,0.95,1,1)</f>
        <v>346.6307390209754</v>
      </c>
      <c r="F20" s="14">
        <f>D20+_xlfn.FORECAST.ETS.CONFINT(B20,$C$3:$C$17,$B$3:$B$17,0.95,1,1)</f>
        <v>6461.0228538586271</v>
      </c>
    </row>
    <row r="21" spans="2:6" x14ac:dyDescent="0.25">
      <c r="B21" s="10">
        <v>45676</v>
      </c>
      <c r="C21" s="12"/>
      <c r="D21" s="11">
        <f>_xlfn.FORECAST.ETS(B21,$C$3:$C$17,$B$3:$B$17,1,1)</f>
        <v>3394.3114734893711</v>
      </c>
      <c r="E21" s="11">
        <f>D21-_xlfn.FORECAST.ETS.CONFINT(B21,$C$3:$C$17,$B$3:$B$17,0.95,1,1)</f>
        <v>337.07720231400617</v>
      </c>
      <c r="F21" s="14">
        <f>D21+_xlfn.FORECAST.ETS.CONFINT(B21,$C$3:$C$17,$B$3:$B$17,0.95,1,1)</f>
        <v>6451.545744664736</v>
      </c>
    </row>
    <row r="22" spans="2:6" x14ac:dyDescent="0.25">
      <c r="B22" s="10">
        <v>45677</v>
      </c>
      <c r="C22" s="12"/>
      <c r="D22" s="11">
        <f>_xlfn.FORECAST.ETS(B22,$C$3:$C$17,$B$3:$B$17,1,1)</f>
        <v>3384.7961505389376</v>
      </c>
      <c r="E22" s="11">
        <f>D22-_xlfn.FORECAST.ETS.CONFINT(B22,$C$3:$C$17,$B$3:$B$17,0.95,1,1)</f>
        <v>327.50685239327822</v>
      </c>
      <c r="F22" s="14">
        <f>D22+_xlfn.FORECAST.ETS.CONFINT(B22,$C$3:$C$17,$B$3:$B$17,0.95,1,1)</f>
        <v>6442.0854486845965</v>
      </c>
    </row>
    <row r="23" spans="2:6" x14ac:dyDescent="0.25">
      <c r="B23" s="10">
        <v>45678</v>
      </c>
      <c r="C23" s="12"/>
      <c r="D23" s="11">
        <f>_xlfn.FORECAST.ETS(B23,$C$3:$C$17,$B$3:$B$17,1,1)</f>
        <v>3375.2808275885077</v>
      </c>
      <c r="E23" s="11">
        <f>D23-_xlfn.FORECAST.ETS.CONFINT(B23,$C$3:$C$17,$B$3:$B$17,0.95,1,1)</f>
        <v>317.91663321358737</v>
      </c>
      <c r="F23" s="14">
        <f>D23+_xlfn.FORECAST.ETS.CONFINT(B23,$C$3:$C$17,$B$3:$B$17,0.95,1,1)</f>
        <v>6432.645021963428</v>
      </c>
    </row>
    <row r="24" spans="2:6" x14ac:dyDescent="0.25">
      <c r="B24" s="10">
        <v>45679</v>
      </c>
      <c r="C24" s="12"/>
      <c r="D24" s="11">
        <f>_xlfn.FORECAST.ETS(B24,$C$3:$C$17,$B$3:$B$17,1,1)</f>
        <v>3365.7655046380742</v>
      </c>
      <c r="E24" s="11">
        <f>D24-_xlfn.FORECAST.ETS.CONFINT(B24,$C$3:$C$17,$B$3:$B$17,0.95,1,1)</f>
        <v>308.30348937986173</v>
      </c>
      <c r="F24" s="14">
        <f>D24+_xlfn.FORECAST.ETS.CONFINT(B24,$C$3:$C$17,$B$3:$B$17,0.95,1,1)</f>
        <v>6423.227519896287</v>
      </c>
    </row>
    <row r="25" spans="2:6" x14ac:dyDescent="0.25">
      <c r="B25" s="10">
        <v>45680</v>
      </c>
      <c r="C25" s="12"/>
      <c r="D25" s="11">
        <f>_xlfn.FORECAST.ETS(B25,$C$3:$C$17,$B$3:$B$17,1,1)</f>
        <v>3356.2501816876443</v>
      </c>
      <c r="E25" s="11">
        <f>D25-_xlfn.FORECAST.ETS.CONFINT(B25,$C$3:$C$17,$B$3:$B$17,0.95,1,1)</f>
        <v>298.6643663609284</v>
      </c>
      <c r="F25" s="14">
        <f>D25+_xlfn.FORECAST.ETS.CONFINT(B25,$C$3:$C$17,$B$3:$B$17,0.95,1,1)</f>
        <v>6413.8359970143601</v>
      </c>
    </row>
    <row r="26" spans="2:6" x14ac:dyDescent="0.25">
      <c r="B26" s="15">
        <v>45681</v>
      </c>
      <c r="C26" s="16"/>
      <c r="D26" s="17">
        <f>_xlfn.FORECAST.ETS(B26,$C$3:$C$17,$B$3:$B$17,1,1)</f>
        <v>3346.7348587372107</v>
      </c>
      <c r="E26" s="17">
        <f>D26-_xlfn.FORECAST.ETS.CONFINT(B26,$C$3:$C$17,$B$3:$B$17,0.95,1,1)</f>
        <v>288.99621073359913</v>
      </c>
      <c r="F26" s="18">
        <f>D26+_xlfn.FORECAST.ETS.CONFINT(B26,$C$3:$C$17,$B$3:$B$17,0.95,1,1)</f>
        <v>6404.4735067408219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Forcast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2024-12-05T06:48:49Z</dcterms:created>
  <dcterms:modified xsi:type="dcterms:W3CDTF">2024-12-05T07:23:53Z</dcterms:modified>
</cp:coreProperties>
</file>