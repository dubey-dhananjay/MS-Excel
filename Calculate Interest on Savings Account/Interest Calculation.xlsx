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Users\Administrator\Desktop\"/>
    </mc:Choice>
  </mc:AlternateContent>
  <xr:revisionPtr revIDLastSave="0" documentId="13_ncr:1_{481F3D8B-02DA-4674-B827-E40D8C0CE17B}" xr6:coauthVersionLast="47" xr6:coauthVersionMax="47" xr10:uidLastSave="{00000000-0000-0000-0000-000000000000}"/>
  <bookViews>
    <workbookView xWindow="-120" yWindow="-120" windowWidth="19440" windowHeight="15000" xr2:uid="{00000000-000D-0000-FFFF-FFFF00000000}"/>
  </bookViews>
  <sheets>
    <sheet name="Intro" sheetId="1" r:id="rId1"/>
    <sheet name="Q3_" sheetId="2" r:id="rId2"/>
    <sheet name="Interest_Calculation" sheetId="3" r:id="rId3"/>
  </sheets>
  <definedNames>
    <definedName name="ExternalData_1" localSheetId="1" hidden="1">'Q3_'!$A$1:$E$118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6" i="3" l="1"/>
  <c r="G3" i="3" a="1"/>
  <c r="G3" i="3" s="1"/>
  <c r="E97" i="3"/>
  <c r="E13" i="3"/>
  <c r="E14" i="3"/>
  <c r="E17" i="3"/>
  <c r="E18" i="3"/>
  <c r="E21" i="3"/>
  <c r="E22" i="3"/>
  <c r="E25" i="3"/>
  <c r="E26" i="3"/>
  <c r="E29" i="3"/>
  <c r="E30" i="3"/>
  <c r="E33" i="3"/>
  <c r="E34" i="3"/>
  <c r="E38" i="3"/>
  <c r="E54" i="3"/>
  <c r="E58" i="3"/>
  <c r="E77" i="3"/>
  <c r="E78" i="3"/>
  <c r="E81" i="3"/>
  <c r="E82" i="3"/>
  <c r="E86" i="3"/>
  <c r="E90" i="3"/>
  <c r="E94" i="3"/>
  <c r="D3" i="3"/>
  <c r="E3" i="3" s="1"/>
  <c r="D4" i="3"/>
  <c r="E4" i="3" s="1"/>
  <c r="D5" i="3"/>
  <c r="E5" i="3" s="1"/>
  <c r="D6" i="3"/>
  <c r="E6" i="3" s="1"/>
  <c r="D7" i="3"/>
  <c r="E7" i="3" s="1"/>
  <c r="D8" i="3"/>
  <c r="E8" i="3" s="1"/>
  <c r="D9" i="3"/>
  <c r="E9" i="3" s="1"/>
  <c r="D10" i="3"/>
  <c r="D11" i="3" s="1"/>
  <c r="E11" i="3" s="1"/>
  <c r="D12" i="3"/>
  <c r="E12" i="3" s="1"/>
  <c r="D13" i="3"/>
  <c r="D14" i="3"/>
  <c r="D15" i="3"/>
  <c r="E15" i="3" s="1"/>
  <c r="D16" i="3"/>
  <c r="E16" i="3" s="1"/>
  <c r="D17" i="3"/>
  <c r="D18" i="3"/>
  <c r="D19" i="3"/>
  <c r="E19" i="3" s="1"/>
  <c r="D20" i="3"/>
  <c r="E20" i="3" s="1"/>
  <c r="D21" i="3"/>
  <c r="D22" i="3"/>
  <c r="D23" i="3"/>
  <c r="E23" i="3" s="1"/>
  <c r="D25" i="3"/>
  <c r="D26" i="3"/>
  <c r="D27" i="3"/>
  <c r="E27" i="3" s="1"/>
  <c r="D28" i="3"/>
  <c r="E28" i="3" s="1"/>
  <c r="D29" i="3"/>
  <c r="D30" i="3"/>
  <c r="D31" i="3"/>
  <c r="E31" i="3" s="1"/>
  <c r="D32" i="3"/>
  <c r="E32" i="3" s="1"/>
  <c r="D33" i="3"/>
  <c r="D34" i="3"/>
  <c r="D35" i="3" s="1"/>
  <c r="D36" i="3" s="1"/>
  <c r="E36" i="3" s="1"/>
  <c r="D37" i="3"/>
  <c r="E37" i="3" s="1"/>
  <c r="D38" i="3"/>
  <c r="D39" i="3" s="1"/>
  <c r="E39" i="3" s="1"/>
  <c r="D40" i="3"/>
  <c r="E40" i="3" s="1"/>
  <c r="D41" i="3"/>
  <c r="E41" i="3" s="1"/>
  <c r="D42" i="3"/>
  <c r="E42" i="3" s="1"/>
  <c r="D43" i="3"/>
  <c r="E43" i="3" s="1"/>
  <c r="D44" i="3"/>
  <c r="E44" i="3" s="1"/>
  <c r="D45" i="3"/>
  <c r="E45" i="3" s="1"/>
  <c r="D46" i="3"/>
  <c r="D47" i="3" s="1"/>
  <c r="D48" i="3" s="1"/>
  <c r="D49" i="3" s="1"/>
  <c r="D50" i="3" s="1"/>
  <c r="D51" i="3" s="1"/>
  <c r="E51" i="3" s="1"/>
  <c r="D52" i="3"/>
  <c r="E52" i="3" s="1"/>
  <c r="D54" i="3"/>
  <c r="D55" i="3" s="1"/>
  <c r="D56" i="3" s="1"/>
  <c r="E56" i="3" s="1"/>
  <c r="D57" i="3"/>
  <c r="E57" i="3" s="1"/>
  <c r="D58" i="3"/>
  <c r="D59" i="3" s="1"/>
  <c r="E59" i="3" s="1"/>
  <c r="D60" i="3"/>
  <c r="E60" i="3" s="1"/>
  <c r="D61" i="3"/>
  <c r="E61" i="3" s="1"/>
  <c r="D62" i="3"/>
  <c r="E62" i="3" s="1"/>
  <c r="D63" i="3"/>
  <c r="E63" i="3" s="1"/>
  <c r="D64" i="3"/>
  <c r="E64" i="3" s="1"/>
  <c r="D65" i="3"/>
  <c r="E65" i="3" s="1"/>
  <c r="D66" i="3"/>
  <c r="E66" i="3" s="1"/>
  <c r="D67" i="3"/>
  <c r="E67" i="3" s="1"/>
  <c r="D72" i="3"/>
  <c r="E72" i="3" s="1"/>
  <c r="D75" i="3"/>
  <c r="E75" i="3" s="1"/>
  <c r="D76" i="3"/>
  <c r="E76" i="3" s="1"/>
  <c r="D77" i="3"/>
  <c r="D78" i="3"/>
  <c r="D79" i="3"/>
  <c r="E79" i="3" s="1"/>
  <c r="D80" i="3"/>
  <c r="E80" i="3" s="1"/>
  <c r="D81" i="3"/>
  <c r="D82" i="3"/>
  <c r="D83" i="3" s="1"/>
  <c r="D84" i="3" s="1"/>
  <c r="D85" i="3" s="1"/>
  <c r="D86" i="3" s="1"/>
  <c r="D87" i="3" s="1"/>
  <c r="E87" i="3" s="1"/>
  <c r="D88" i="3"/>
  <c r="D89" i="3" s="1"/>
  <c r="E89" i="3" s="1"/>
  <c r="D90" i="3"/>
  <c r="D91" i="3"/>
  <c r="E91" i="3" s="1"/>
  <c r="D92" i="3"/>
  <c r="D93" i="3" s="1"/>
  <c r="E93" i="3" s="1"/>
  <c r="D94"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B3" i="1"/>
  <c r="B5" i="1"/>
  <c r="B4" i="1"/>
  <c r="G8" i="3"/>
  <c r="G7" i="3"/>
  <c r="D73" i="3" l="1"/>
  <c r="D68" i="3"/>
  <c r="D53" i="3"/>
  <c r="E53" i="3" s="1"/>
  <c r="E92" i="3"/>
  <c r="E88" i="3"/>
  <c r="E84" i="3"/>
  <c r="E48" i="3"/>
  <c r="E50" i="3"/>
  <c r="E46" i="3"/>
  <c r="E10" i="3"/>
  <c r="E85" i="3"/>
  <c r="E49" i="3"/>
  <c r="D24" i="3"/>
  <c r="E24" i="3" s="1"/>
  <c r="E83" i="3"/>
  <c r="E55" i="3"/>
  <c r="E47" i="3"/>
  <c r="E35" i="3"/>
  <c r="I14" i="3"/>
  <c r="I15" i="3"/>
  <c r="D69" i="3" l="1"/>
  <c r="E68" i="3"/>
  <c r="E73" i="3"/>
  <c r="D74" i="3"/>
  <c r="E74" i="3" s="1"/>
  <c r="K14" i="3"/>
  <c r="E69" i="3" l="1"/>
  <c r="D70" i="3"/>
  <c r="D71" i="3" l="1"/>
  <c r="E71" i="3" s="1"/>
  <c r="E7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6D260E-EFEF-47B8-9BE5-293DCCF0E0FE}" keepAlive="1" name="Query - December-2024" description="Connection to the 'December-2024' query in the workbook." type="5" refreshedVersion="0" background="1">
    <dbPr connection="Provider=Microsoft.Mashup.OleDb.1;Data Source=$Workbook$;Location=December-2024;Extended Properties=&quot;&quot;" command="SELECT * FROM [December-2024]"/>
  </connection>
  <connection id="2" xr16:uid="{41EC7010-7AC1-4DE3-828C-ADE0D7C7F32F}" keepAlive="1" name="Query - January-2025" description="Connection to the 'January-2025' query in the workbook." type="5" refreshedVersion="0" background="1">
    <dbPr connection="Provider=Microsoft.Mashup.OleDb.1;Data Source=$Workbook$;Location=January-2025;Extended Properties=&quot;&quot;" command="SELECT * FROM [January-2025]"/>
  </connection>
  <connection id="3" xr16:uid="{617F79C4-2B0C-4771-883B-21B7371B85DA}" keepAlive="1" name="Query - November-2024" description="Connection to the 'November-2024' query in the workbook." type="5" refreshedVersion="0" background="1">
    <dbPr connection="Provider=Microsoft.Mashup.OleDb.1;Data Source=$Workbook$;Location=November-2024;Extended Properties=&quot;&quot;" command="SELECT * FROM [November-2024]"/>
  </connection>
  <connection id="4" xr16:uid="{2B5FB886-CA31-48D1-8A4D-EEA1486247DB}" keepAlive="1" name="Query - Q3" description="Connection to the 'Q3' query in the workbook." type="5" refreshedVersion="8" background="1" saveData="1">
    <dbPr connection="Provider=Microsoft.Mashup.OleDb.1;Data Source=$Workbook$;Location=Q3;Extended Properties=&quot;&quot;" command="SELECT * FROM [Q3]"/>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<sst xmlns="http://schemas.openxmlformats.org/spreadsheetml/2006/main" count="143" uniqueCount="27">
  <si>
    <t>DATE</t>
  </si>
  <si>
    <t>CHQ.NO.</t>
  </si>
  <si>
    <t>WITHDRAWAL (DR)</t>
  </si>
  <si>
    <t>DEPOSIT (CR)</t>
  </si>
  <si>
    <t>BALANCE</t>
  </si>
  <si>
    <t/>
  </si>
  <si>
    <t>Dates</t>
  </si>
  <si>
    <t>Last Transaction</t>
  </si>
  <si>
    <t>Closing Balance</t>
  </si>
  <si>
    <t>Interest</t>
  </si>
  <si>
    <t>Monthly Average Balance</t>
  </si>
  <si>
    <t>Quaterly Average Balance</t>
  </si>
  <si>
    <t>Total Interest Gained in Q3</t>
  </si>
  <si>
    <t>References</t>
  </si>
  <si>
    <t>Data -&gt; Get Data -&gt; From Web -&gt; Paste below link -&gt; Transform Data -&gt; Create Connection Only</t>
  </si>
  <si>
    <t>Quarter</t>
  </si>
  <si>
    <t>Period</t>
  </si>
  <si>
    <t>Second Quarter</t>
  </si>
  <si>
    <t>01 July 2023 to 30th Sept 2023</t>
  </si>
  <si>
    <t>Third Quarter</t>
  </si>
  <si>
    <t>01 Oct 2023 to 31st Dec 2023</t>
  </si>
  <si>
    <t>Fourth Quarter</t>
  </si>
  <si>
    <t>01 Jan 2024 to 31st March 2024</t>
  </si>
  <si>
    <t>01 April 2023 to 30th June 2023</t>
  </si>
  <si>
    <t>First Quarter</t>
  </si>
  <si>
    <t>In our case we will Third Quarter from 1-Nov to 31-Jan</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</si>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</sst>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yyyy"/>
  </numFmts>
  <fonts count="7" x14ac:knownFonts="1">
    <font>
      <sz val="11"/>
      <color theme="1"/>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color theme="1" tint="4.9989318521683403E-2"/>
      <name val="Calibri"/>
      <family val="2"/>
      <scheme val="minor"/>
    </font>
    <font>
      <b/>
      <sz val="8"/>
      <color rgb="FF080808"/>
      <name val="Inherit"/>
    </font>
    <font>
      <sz val="11"/>
      <color rgb="FF080808"/>
      <name val="Calibri"/>
      <family val="2"/>
      <scheme val="minor"/>
    </font>
  </fonts>
  <fills count="10">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1" tint="4.9989318521683403E-2"/>
        <bgColor indexed="64"/>
      </patternFill>
    </fill>
    <fill>
      <patternFill patternType="solid">
        <fgColor rgb="FFFFFFFF"/>
        <bgColor indexed="64"/>
      </patternFill>
    </fill>
    <fill>
      <patternFill patternType="solid">
        <fgColor theme="4" tint="0.399975585192419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0" fontId="3" fillId="0" borderId="0" applyNumberFormat="0" applyFill="0" applyBorder="0" applyAlignment="0" applyProtection="0"/>
  </cellStyleXfs>
  <cellXfs count="30">
    <xf numFmtId="0" fontId="0" fillId="0" borderId="0" xfId="0"/>
    <xf numFmtId="0" fontId="0" fillId="0" borderId="0" xfId="0" applyAlignment="1">
      <alignment vertical="center"/>
    </xf>
    <xf numFmtId="0" fontId="0" fillId="0" borderId="1" xfId="0" applyBorder="1"/>
    <xf numFmtId="0" fontId="0" fillId="0" borderId="1" xfId="0" applyBorder="1" applyAlignment="1">
      <alignment horizontal="center" vertical="center"/>
    </xf>
    <xf numFmtId="164" fontId="0" fillId="2" borderId="1" xfId="0" applyNumberFormat="1" applyFill="1" applyBorder="1" applyAlignment="1">
      <alignment horizontal="center" vertical="center"/>
    </xf>
    <xf numFmtId="164" fontId="0" fillId="3" borderId="1" xfId="0" applyNumberFormat="1" applyFill="1" applyBorder="1" applyAlignment="1">
      <alignment horizontal="center" vertical="center"/>
    </xf>
    <xf numFmtId="164" fontId="0" fillId="4" borderId="1" xfId="0" applyNumberFormat="1" applyFill="1" applyBorder="1" applyAlignment="1">
      <alignment horizontal="center" vertical="center"/>
    </xf>
    <xf numFmtId="0" fontId="1" fillId="6" borderId="1" xfId="0" applyFont="1" applyFill="1" applyBorder="1" applyAlignment="1">
      <alignment horizontal="center" vertical="center" wrapText="1"/>
    </xf>
    <xf numFmtId="0" fontId="3" fillId="0" borderId="0" xfId="1"/>
    <xf numFmtId="0" fontId="3" fillId="0" borderId="1" xfId="1" applyBorder="1" applyAlignment="1">
      <alignment horizontal="center"/>
    </xf>
    <xf numFmtId="0" fontId="2" fillId="7" borderId="1" xfId="0" applyFont="1" applyFill="1" applyBorder="1" applyAlignment="1">
      <alignment horizontal="center" vertical="center"/>
    </xf>
    <xf numFmtId="14" fontId="0" fillId="0" borderId="5" xfId="0" applyNumberFormat="1" applyBorder="1"/>
    <xf numFmtId="0" fontId="0" fillId="0" borderId="6" xfId="0" applyBorder="1"/>
    <xf numFmtId="14" fontId="0" fillId="0" borderId="7" xfId="0" applyNumberFormat="1" applyBorder="1"/>
    <xf numFmtId="0" fontId="0" fillId="0" borderId="8" xfId="0" applyBorder="1"/>
    <xf numFmtId="0" fontId="0" fillId="0" borderId="9" xfId="0" applyBorder="1"/>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0" fillId="0" borderId="0" xfId="0" applyAlignment="1">
      <alignment horizontal="left" vertical="center"/>
    </xf>
    <xf numFmtId="14" fontId="0" fillId="0" borderId="1" xfId="0" applyNumberFormat="1" applyBorder="1"/>
    <xf numFmtId="17" fontId="0" fillId="0" borderId="0" xfId="0" applyNumberFormat="1"/>
    <xf numFmtId="0" fontId="4" fillId="0" borderId="0" xfId="0" applyFont="1" applyAlignment="1">
      <alignment horizontal="left" vertical="center"/>
    </xf>
    <xf numFmtId="0" fontId="5" fillId="8" borderId="10" xfId="0" applyFont="1" applyFill="1" applyBorder="1" applyAlignment="1">
      <alignment vertical="center" wrapText="1"/>
    </xf>
    <xf numFmtId="0" fontId="5" fillId="9" borderId="10" xfId="0" applyFont="1" applyFill="1" applyBorder="1" applyAlignment="1">
      <alignment horizontal="center" vertical="center" wrapText="1"/>
    </xf>
    <xf numFmtId="0" fontId="6" fillId="8" borderId="0" xfId="0" applyFont="1" applyFill="1" applyAlignment="1">
      <alignment vertical="center"/>
    </xf>
    <xf numFmtId="164" fontId="1" fillId="5" borderId="1" xfId="0" applyNumberFormat="1" applyFont="1" applyFill="1" applyBorder="1" applyAlignment="1">
      <alignment horizontal="center" vertical="center" wrapText="1"/>
    </xf>
    <xf numFmtId="0" fontId="1" fillId="5" borderId="1" xfId="0" applyFont="1" applyFill="1" applyBorder="1" applyAlignment="1">
      <alignment horizontal="center" vertical="center" wrapText="1"/>
    </xf>
    <xf numFmtId="0" fontId="0" fillId="0" borderId="1" xfId="0" applyBorder="1" applyAlignment="1">
      <alignment horizontal="center" vertical="center"/>
    </xf>
    <xf numFmtId="0" fontId="1" fillId="0" borderId="0" xfId="0" applyFont="1" applyAlignment="1">
      <alignment horizontal="right"/>
    </xf>
  </cellXfs>
  <cellStyles count="2">
    <cellStyle name="Hyperlink" xfId="1" builtinId="8"/>
    <cellStyle name="Normal" xfId="0" builtinId="0"/>
  </cellStyles>
  <dxfs count="14">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strike val="0"/>
        <outline val="0"/>
        <shadow val="0"/>
        <u val="none"/>
        <vertAlign val="baseline"/>
        <sz val="11"/>
        <color theme="1" tint="4.9989318521683403E-2"/>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5771</xdr:rowOff>
    </xdr:from>
    <xdr:to>
      <xdr:col>8</xdr:col>
      <xdr:colOff>32289</xdr:colOff>
      <xdr:row>38</xdr:row>
      <xdr:rowOff>172203</xdr:rowOff>
    </xdr:to>
    <xdr:sp macro="" textlink="">
      <xdr:nvSpPr>
        <xdr:cNvPr id="3" name="Rectangle: Rounded Corners 2">
          <a:extLst>
            <a:ext uri="{FF2B5EF4-FFF2-40B4-BE49-F238E27FC236}">
              <a16:creationId xmlns:a16="http://schemas.microsoft.com/office/drawing/2014/main" id="{EF0CD320-D143-AA46-0CCD-B988D1091EC0}"/>
            </a:ext>
          </a:extLst>
        </xdr:cNvPr>
        <xdr:cNvSpPr/>
      </xdr:nvSpPr>
      <xdr:spPr>
        <a:xfrm>
          <a:off x="613475" y="1103568"/>
          <a:ext cx="6123983" cy="6021347"/>
        </a:xfrm>
        <a:prstGeom prst="roundRect">
          <a:avLst>
            <a:gd name="adj" fmla="val 1744"/>
          </a:avLst>
        </a:prstGeom>
        <a:ln>
          <a:solidFill>
            <a:schemeClr val="tx1">
              <a:lumMod val="95000"/>
              <a:lumOff val="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just"/>
          <a:r>
            <a:rPr lang="en-IN" b="1" i="0">
              <a:solidFill>
                <a:srgbClr val="9E0BE2"/>
              </a:solidFill>
              <a:effectLst/>
              <a:latin typeface="Noto Sans" panose="020B0502040504020204" pitchFamily="34" charset="0"/>
            </a:rPr>
            <a:t>What is a Financial Year?</a:t>
          </a:r>
        </a:p>
        <a:p>
          <a:pPr algn="just"/>
          <a:r>
            <a:rPr lang="en-IN" b="1" i="0">
              <a:solidFill>
                <a:schemeClr val="tx1"/>
              </a:solidFill>
              <a:effectLst/>
              <a:latin typeface="Noto Sans" panose="020B0502040504020204" pitchFamily="34" charset="0"/>
            </a:rPr>
            <a:t>The Financial Year</a:t>
          </a:r>
          <a:r>
            <a:rPr lang="en-IN" b="0" i="0">
              <a:solidFill>
                <a:schemeClr val="tx1"/>
              </a:solidFill>
              <a:effectLst/>
              <a:latin typeface="Noto Sans" panose="020B0502040504020204" pitchFamily="34" charset="0"/>
            </a:rPr>
            <a:t> is a period of 12 months ( </a:t>
          </a:r>
          <a:r>
            <a:rPr lang="en-IN" b="1" i="0">
              <a:solidFill>
                <a:schemeClr val="tx1"/>
              </a:solidFill>
              <a:effectLst/>
              <a:latin typeface="Noto Sans" panose="020B0502040504020204" pitchFamily="34" charset="0"/>
            </a:rPr>
            <a:t>from 01 April to 31 March</a:t>
          </a:r>
          <a:r>
            <a:rPr lang="en-IN" b="0" i="0">
              <a:solidFill>
                <a:schemeClr val="tx1"/>
              </a:solidFill>
              <a:effectLst/>
              <a:latin typeface="Noto Sans" panose="020B0502040504020204" pitchFamily="34" charset="0"/>
            </a:rPr>
            <a:t>) in which the public use to earn money through any type of income source such as</a:t>
          </a:r>
        </a:p>
        <a:p>
          <a:pPr algn="just">
            <a:buFont typeface="+mj-lt"/>
            <a:buAutoNum type="arabicPeriod"/>
          </a:pPr>
          <a:r>
            <a:rPr lang="en-IN" b="0" i="0">
              <a:solidFill>
                <a:schemeClr val="tx1"/>
              </a:solidFill>
              <a:effectLst/>
              <a:latin typeface="Noto Sans" panose="020B0502040504020204" pitchFamily="34" charset="0"/>
            </a:rPr>
            <a:t>Salary Income if doing a job</a:t>
          </a:r>
        </a:p>
        <a:p>
          <a:pPr algn="just">
            <a:buFont typeface="+mj-lt"/>
            <a:buAutoNum type="arabicPeriod"/>
          </a:pPr>
          <a:r>
            <a:rPr lang="en-IN" b="0" i="0">
              <a:solidFill>
                <a:schemeClr val="tx1"/>
              </a:solidFill>
              <a:effectLst/>
              <a:latin typeface="Noto Sans" panose="020B0502040504020204" pitchFamily="34" charset="0"/>
            </a:rPr>
            <a:t>Business income if doing business</a:t>
          </a:r>
        </a:p>
        <a:p>
          <a:pPr algn="just">
            <a:buFont typeface="+mj-lt"/>
            <a:buAutoNum type="arabicPeriod"/>
          </a:pPr>
          <a:r>
            <a:rPr lang="en-IN" b="0" i="0">
              <a:solidFill>
                <a:schemeClr val="tx1"/>
              </a:solidFill>
              <a:effectLst/>
              <a:latin typeface="Noto Sans" panose="020B0502040504020204" pitchFamily="34" charset="0"/>
            </a:rPr>
            <a:t>Professional fees if doing any profession</a:t>
          </a:r>
        </a:p>
        <a:p>
          <a:pPr algn="just">
            <a:buFont typeface="+mj-lt"/>
            <a:buAutoNum type="arabicPeriod"/>
          </a:pPr>
          <a:r>
            <a:rPr lang="en-IN" b="0" i="0">
              <a:solidFill>
                <a:schemeClr val="tx1"/>
              </a:solidFill>
              <a:effectLst/>
              <a:latin typeface="Noto Sans" panose="020B0502040504020204" pitchFamily="34" charset="0"/>
            </a:rPr>
            <a:t>Income from House property such as rent</a:t>
          </a:r>
        </a:p>
        <a:p>
          <a:pPr algn="just">
            <a:buFont typeface="+mj-lt"/>
            <a:buAutoNum type="arabicPeriod"/>
          </a:pPr>
          <a:r>
            <a:rPr lang="en-IN" b="0" i="0">
              <a:solidFill>
                <a:schemeClr val="tx1"/>
              </a:solidFill>
              <a:effectLst/>
              <a:latin typeface="Noto Sans" panose="020B0502040504020204" pitchFamily="34" charset="0"/>
            </a:rPr>
            <a:t>Income from capital gains</a:t>
          </a:r>
        </a:p>
        <a:p>
          <a:pPr algn="just">
            <a:buFont typeface="+mj-lt"/>
            <a:buAutoNum type="arabicPeriod"/>
          </a:pPr>
          <a:r>
            <a:rPr lang="en-IN" b="0" i="0">
              <a:solidFill>
                <a:schemeClr val="tx1"/>
              </a:solidFill>
              <a:effectLst/>
              <a:latin typeface="Noto Sans" panose="020B0502040504020204" pitchFamily="34" charset="0"/>
            </a:rPr>
            <a:t>And Income from any Other Source that you have.</a:t>
          </a:r>
        </a:p>
        <a:p>
          <a:pPr algn="just"/>
          <a:r>
            <a:rPr lang="en-IN" b="0" i="0">
              <a:solidFill>
                <a:schemeClr val="tx1"/>
              </a:solidFill>
              <a:effectLst/>
              <a:latin typeface="Noto Sans" panose="020B0502040504020204" pitchFamily="34" charset="0"/>
            </a:rPr>
            <a:t>The financial year can be less than 12 months if a new setup is started.</a:t>
          </a:r>
        </a:p>
        <a:p>
          <a:pPr algn="just"/>
          <a:endParaRPr lang="en-IN" b="0" i="0">
            <a:solidFill>
              <a:schemeClr val="tx1"/>
            </a:solidFill>
            <a:effectLst/>
            <a:latin typeface="Noto Sans" panose="020B0502040504020204" pitchFamily="34" charset="0"/>
          </a:endParaRPr>
        </a:p>
        <a:p>
          <a:pPr algn="just"/>
          <a:r>
            <a:rPr lang="en-IN" b="1" i="0">
              <a:solidFill>
                <a:srgbClr val="9E0BE2"/>
              </a:solidFill>
              <a:effectLst/>
              <a:latin typeface="Noto Sans" panose="020B0502040504020204" pitchFamily="34" charset="0"/>
            </a:rPr>
            <a:t>When does the financial year end in India?</a:t>
          </a:r>
        </a:p>
        <a:p>
          <a:pPr algn="just"/>
          <a:r>
            <a:rPr lang="en-IN" b="0" i="0">
              <a:solidFill>
                <a:srgbClr val="080808"/>
              </a:solidFill>
              <a:effectLst/>
              <a:latin typeface="Noto Sans" panose="020B0502040504020204" pitchFamily="34" charset="0"/>
            </a:rPr>
            <a:t>In India, the Financial year gets to end on 31st March every year.</a:t>
          </a:r>
        </a:p>
        <a:p>
          <a:pPr algn="just"/>
          <a:r>
            <a:rPr lang="en-IN" b="0" i="0">
              <a:solidFill>
                <a:srgbClr val="080808"/>
              </a:solidFill>
              <a:effectLst/>
              <a:latin typeface="Noto Sans" panose="020B0502040504020204" pitchFamily="34" charset="0"/>
            </a:rPr>
            <a:t>for example- for the Calendar year 2023, you will see the financial period will start on 01 April 2023 then the F.Y. will get end on 31 March 2024 for the current FY. 2023-24.</a:t>
          </a:r>
        </a:p>
        <a:p>
          <a:pPr algn="just"/>
          <a:r>
            <a:rPr lang="en-IN" b="1" i="0">
              <a:solidFill>
                <a:srgbClr val="9E0BE2"/>
              </a:solidFill>
              <a:effectLst/>
              <a:latin typeface="Noto Sans" panose="020B0502040504020204" pitchFamily="34" charset="0"/>
            </a:rPr>
            <a:t>Is the financial year will be the same in the world?</a:t>
          </a:r>
        </a:p>
        <a:p>
          <a:pPr algn="just"/>
          <a:r>
            <a:rPr lang="en-IN" b="0" i="0">
              <a:solidFill>
                <a:srgbClr val="080808"/>
              </a:solidFill>
              <a:effectLst/>
              <a:latin typeface="Noto Sans" panose="020B0502040504020204" pitchFamily="34" charset="0"/>
            </a:rPr>
            <a:t>No, The financial year can be variable or different according to the government of the country. Because every country has different income tax rules. So that countries can have a different </a:t>
          </a:r>
          <a:r>
            <a:rPr lang="en-IN" b="1" i="0">
              <a:solidFill>
                <a:srgbClr val="080808"/>
              </a:solidFill>
              <a:effectLst/>
              <a:latin typeface="Noto Sans" panose="020B0502040504020204" pitchFamily="34" charset="0"/>
            </a:rPr>
            <a:t>financial year</a:t>
          </a:r>
          <a:r>
            <a:rPr lang="en-IN" b="0" i="0">
              <a:solidFill>
                <a:srgbClr val="080808"/>
              </a:solidFill>
              <a:effectLst/>
              <a:latin typeface="Noto Sans" panose="020B0502040504020204" pitchFamily="34" charset="0"/>
            </a:rPr>
            <a:t> or </a:t>
          </a:r>
          <a:r>
            <a:rPr lang="en-IN" b="1" i="0">
              <a:solidFill>
                <a:srgbClr val="080808"/>
              </a:solidFill>
              <a:effectLst/>
              <a:latin typeface="Noto Sans" panose="020B0502040504020204" pitchFamily="34" charset="0"/>
            </a:rPr>
            <a:t>fiscal year</a:t>
          </a:r>
          <a:r>
            <a:rPr lang="en-IN" b="0" i="0">
              <a:solidFill>
                <a:srgbClr val="080808"/>
              </a:solidFill>
              <a:effectLst/>
              <a:latin typeface="Noto Sans" panose="020B0502040504020204" pitchFamily="34" charset="0"/>
            </a:rPr>
            <a:t>.</a:t>
          </a:r>
        </a:p>
        <a:p>
          <a:pPr algn="just"/>
          <a:r>
            <a:rPr lang="en-IN" b="1" i="0">
              <a:solidFill>
                <a:srgbClr val="9E0BE2"/>
              </a:solidFill>
              <a:effectLst/>
              <a:latin typeface="Noto Sans" panose="020B0502040504020204" pitchFamily="34" charset="0"/>
            </a:rPr>
            <a:t>What is the current financial year?</a:t>
          </a:r>
        </a:p>
        <a:p>
          <a:pPr algn="just"/>
          <a:r>
            <a:rPr lang="en-IN" b="0" i="0">
              <a:solidFill>
                <a:srgbClr val="080808"/>
              </a:solidFill>
              <a:effectLst/>
              <a:latin typeface="Noto Sans" panose="020B0502040504020204" pitchFamily="34" charset="0"/>
            </a:rPr>
            <a:t>The current financial year is the current period from 1st April of the (current year) up to 31st March of the next Year).</a:t>
          </a:r>
        </a:p>
        <a:p>
          <a:pPr algn="just"/>
          <a:r>
            <a:rPr lang="en-IN" b="1" i="0">
              <a:solidFill>
                <a:srgbClr val="080808"/>
              </a:solidFill>
              <a:effectLst/>
              <a:latin typeface="Noto Sans" panose="020B0502040504020204" pitchFamily="34" charset="0"/>
            </a:rPr>
            <a:t>For example</a:t>
          </a:r>
          <a:r>
            <a:rPr lang="en-IN" b="0" i="0">
              <a:solidFill>
                <a:srgbClr val="080808"/>
              </a:solidFill>
              <a:effectLst/>
              <a:latin typeface="Noto Sans" panose="020B0502040504020204" pitchFamily="34" charset="0"/>
            </a:rPr>
            <a:t>, if your current year is 2024 then your </a:t>
          </a:r>
          <a:r>
            <a:rPr lang="en-IN" b="1" i="0">
              <a:solidFill>
                <a:srgbClr val="080808"/>
              </a:solidFill>
              <a:effectLst/>
              <a:latin typeface="Noto Sans" panose="020B0502040504020204" pitchFamily="34" charset="0"/>
            </a:rPr>
            <a:t>financial year</a:t>
          </a:r>
          <a:r>
            <a:rPr lang="en-IN" b="0" i="0">
              <a:solidFill>
                <a:srgbClr val="080808"/>
              </a:solidFill>
              <a:effectLst/>
              <a:latin typeface="Noto Sans" panose="020B0502040504020204" pitchFamily="34" charset="0"/>
            </a:rPr>
            <a:t> will start on </a:t>
          </a:r>
          <a:r>
            <a:rPr lang="en-IN" b="1" i="0">
              <a:solidFill>
                <a:srgbClr val="080808"/>
              </a:solidFill>
              <a:effectLst/>
              <a:latin typeface="Noto Sans" panose="020B0502040504020204" pitchFamily="34" charset="0"/>
            </a:rPr>
            <a:t>01 April 202</a:t>
          </a:r>
          <a:r>
            <a:rPr lang="en-IN" b="0" i="0">
              <a:solidFill>
                <a:srgbClr val="080808"/>
              </a:solidFill>
              <a:effectLst/>
              <a:latin typeface="Noto Sans" panose="020B0502040504020204" pitchFamily="34" charset="0"/>
            </a:rPr>
            <a:t>4 and will end on </a:t>
          </a:r>
          <a:r>
            <a:rPr lang="en-IN" b="1" i="0">
              <a:solidFill>
                <a:srgbClr val="080808"/>
              </a:solidFill>
              <a:effectLst/>
              <a:latin typeface="Noto Sans" panose="020B0502040504020204" pitchFamily="34" charset="0"/>
            </a:rPr>
            <a:t>31st March 2025</a:t>
          </a:r>
          <a:r>
            <a:rPr lang="en-IN" b="0" i="0">
              <a:solidFill>
                <a:srgbClr val="080808"/>
              </a:solidFill>
              <a:effectLst/>
              <a:latin typeface="Noto Sans" panose="020B0502040504020204" pitchFamily="34" charset="0"/>
            </a:rPr>
            <a:t>.</a:t>
          </a:r>
        </a:p>
        <a:p>
          <a:pPr algn="just"/>
          <a:r>
            <a:rPr lang="en-IN" b="1" i="0">
              <a:solidFill>
                <a:srgbClr val="9E0BE2"/>
              </a:solidFill>
              <a:effectLst/>
              <a:latin typeface="Noto Sans" panose="020B0502040504020204" pitchFamily="34" charset="0"/>
            </a:rPr>
            <a:t>What is the quarter of the financial year?</a:t>
          </a:r>
        </a:p>
        <a:p>
          <a:pPr algn="just"/>
          <a:r>
            <a:rPr lang="en-IN" b="0" i="0">
              <a:solidFill>
                <a:srgbClr val="080808"/>
              </a:solidFill>
              <a:effectLst/>
              <a:latin typeface="Noto Sans" panose="020B0502040504020204" pitchFamily="34" charset="0"/>
            </a:rPr>
            <a:t>A financial year is a period of 12 months from 01 April to 31 March. When a financial year is divided into four parts of 3 months then that is called a </a:t>
          </a:r>
          <a:r>
            <a:rPr lang="en-IN" b="1" i="0">
              <a:solidFill>
                <a:srgbClr val="080808"/>
              </a:solidFill>
              <a:effectLst/>
              <a:latin typeface="Noto Sans" panose="020B0502040504020204" pitchFamily="34" charset="0"/>
            </a:rPr>
            <a:t>Quarter of the financial year</a:t>
          </a:r>
          <a:r>
            <a:rPr lang="en-IN" b="0" i="0">
              <a:solidFill>
                <a:srgbClr val="080808"/>
              </a:solidFill>
              <a:effectLst/>
              <a:latin typeface="Noto Sans" panose="020B0502040504020204" pitchFamily="34" charset="0"/>
            </a:rPr>
            <a:t>.</a:t>
          </a:r>
        </a:p>
        <a:p>
          <a:pPr algn="just"/>
          <a:endParaRPr lang="en-IN" b="0" i="0">
            <a:solidFill>
              <a:schemeClr val="tx1"/>
            </a:solidFill>
            <a:effectLst/>
            <a:latin typeface="Noto Sans" panose="020B0502040504020204" pitchFamily="34" charset="0"/>
          </a:endParaRPr>
        </a:p>
        <a:p>
          <a:pPr algn="just"/>
          <a:r>
            <a:rPr lang="en-IN" b="0" i="0">
              <a:solidFill>
                <a:srgbClr val="080808"/>
              </a:solidFill>
              <a:effectLst/>
              <a:latin typeface="Noto Sans" panose="020B0502040504020204" pitchFamily="34" charset="0"/>
            </a:rPr>
            <a:t>For example, for the current financial year (</a:t>
          </a:r>
          <a:r>
            <a:rPr lang="en-IN" b="1" i="0">
              <a:solidFill>
                <a:srgbClr val="080808"/>
              </a:solidFill>
              <a:effectLst/>
              <a:latin typeface="Noto Sans" panose="020B0502040504020204" pitchFamily="34" charset="0"/>
            </a:rPr>
            <a:t>1st April 2023 to 31st March 202</a:t>
          </a:r>
          <a:r>
            <a:rPr lang="en-IN" b="0" i="0">
              <a:solidFill>
                <a:srgbClr val="080808"/>
              </a:solidFill>
              <a:effectLst/>
              <a:latin typeface="Noto Sans" panose="020B0502040504020204" pitchFamily="34" charset="0"/>
            </a:rPr>
            <a:t>4). The 4 quarter will be as below-</a:t>
          </a:r>
          <a:endParaRPr lang="en-IN" b="0" i="0">
            <a:solidFill>
              <a:schemeClr val="tx1"/>
            </a:solidFill>
            <a:effectLst/>
            <a:latin typeface="Noto Sans" panose="020B05020405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150755</xdr:colOff>
      <xdr:row>1</xdr:row>
      <xdr:rowOff>31977</xdr:rowOff>
    </xdr:from>
    <xdr:to>
      <xdr:col>11</xdr:col>
      <xdr:colOff>433993</xdr:colOff>
      <xdr:row>11</xdr:row>
      <xdr:rowOff>31979</xdr:rowOff>
    </xdr:to>
    <xdr:sp macro="" textlink="">
      <xdr:nvSpPr>
        <xdr:cNvPr id="2" name="Rectangle: Rounded Corners 1">
          <a:extLst>
            <a:ext uri="{FF2B5EF4-FFF2-40B4-BE49-F238E27FC236}">
              <a16:creationId xmlns:a16="http://schemas.microsoft.com/office/drawing/2014/main" id="{6322B7A6-F19C-54BD-54C3-9E4CB8DDE092}"/>
            </a:ext>
          </a:extLst>
        </xdr:cNvPr>
        <xdr:cNvSpPr/>
      </xdr:nvSpPr>
      <xdr:spPr>
        <a:xfrm>
          <a:off x="5166798" y="31977"/>
          <a:ext cx="3106476" cy="2014642"/>
        </a:xfrm>
        <a:prstGeom prst="roundRect">
          <a:avLst>
            <a:gd name="adj" fmla="val 5542"/>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600"/>
            <a:t>Interest Calculation METHODS</a:t>
          </a:r>
        </a:p>
        <a:p>
          <a:pPr algn="l"/>
          <a:endParaRPr lang="en-IN" sz="1100"/>
        </a:p>
        <a:p>
          <a:pPr algn="l"/>
          <a:r>
            <a:rPr lang="en-IN" sz="1100" b="1">
              <a:solidFill>
                <a:srgbClr val="FFFF00"/>
              </a:solidFill>
            </a:rPr>
            <a:t>Method 1 (Per Day): </a:t>
          </a:r>
        </a:p>
        <a:p>
          <a:pPr algn="l"/>
          <a:r>
            <a:rPr lang="en-IN" sz="1100"/>
            <a:t>=(2.75/365)*(</a:t>
          </a:r>
          <a:r>
            <a:rPr lang="en-IN" sz="1100">
              <a:solidFill>
                <a:schemeClr val="lt1"/>
              </a:solidFill>
              <a:effectLst/>
              <a:latin typeface="+mn-lt"/>
              <a:ea typeface="+mn-ea"/>
              <a:cs typeface="+mn-cs"/>
            </a:rPr>
            <a:t>[per day closing balance]</a:t>
          </a:r>
          <a:r>
            <a:rPr lang="en-IN" sz="1100"/>
            <a:t>/100)</a:t>
          </a:r>
        </a:p>
        <a:p>
          <a:pPr algn="l"/>
          <a:endParaRPr lang="en-IN" sz="1100"/>
        </a:p>
        <a:p>
          <a:pPr algn="l"/>
          <a:r>
            <a:rPr lang="en-IN" sz="1100" b="1">
              <a:solidFill>
                <a:srgbClr val="FFFF00"/>
              </a:solidFill>
            </a:rPr>
            <a:t>Method 2 </a:t>
          </a:r>
          <a:r>
            <a:rPr kumimoji="0" lang="en-IN" sz="1100" b="1" i="0" u="none" strike="noStrike" kern="0" cap="none" spc="0" normalizeH="0" baseline="0" noProof="0">
              <a:ln>
                <a:noFill/>
              </a:ln>
              <a:solidFill>
                <a:srgbClr val="FFFF00"/>
              </a:solidFill>
              <a:effectLst/>
              <a:uLnTx/>
              <a:uFillTx/>
              <a:latin typeface="+mn-lt"/>
              <a:ea typeface="+mn-ea"/>
              <a:cs typeface="+mn-cs"/>
            </a:rPr>
            <a:t>(Per Day)</a:t>
          </a:r>
          <a:r>
            <a:rPr lang="en-IN" sz="1100" b="1">
              <a:solidFill>
                <a:srgbClr val="FFFF00"/>
              </a:solidFill>
            </a:rPr>
            <a:t>: </a:t>
          </a:r>
        </a:p>
        <a:p>
          <a:pPr algn="l"/>
          <a:r>
            <a:rPr lang="en-IN" sz="1100"/>
            <a:t>=[per day closing balance]*(2.75/365)/100</a:t>
          </a:r>
        </a:p>
        <a:p>
          <a:pPr algn="l"/>
          <a:endParaRPr lang="en-IN" sz="1100"/>
        </a:p>
        <a:p>
          <a:pPr algn="l"/>
          <a:r>
            <a:rPr lang="en-IN" sz="1100" b="1">
              <a:solidFill>
                <a:srgbClr val="FFFF00"/>
              </a:solidFill>
            </a:rPr>
            <a:t>Method</a:t>
          </a:r>
          <a:r>
            <a:rPr lang="en-IN" sz="1100" b="1" baseline="0">
              <a:solidFill>
                <a:srgbClr val="FFFF00"/>
              </a:solidFill>
            </a:rPr>
            <a:t> 3: </a:t>
          </a:r>
        </a:p>
        <a:p>
          <a:pPr algn="l"/>
          <a:r>
            <a:rPr lang="en-IN" sz="1100" baseline="0"/>
            <a:t>=SUM(</a:t>
          </a:r>
          <a:r>
            <a:rPr lang="en-IN" sz="1100">
              <a:solidFill>
                <a:schemeClr val="lt1"/>
              </a:solidFill>
              <a:effectLst/>
              <a:latin typeface="+mn-lt"/>
              <a:ea typeface="+mn-ea"/>
              <a:cs typeface="+mn-cs"/>
            </a:rPr>
            <a:t>[closing balance range])</a:t>
          </a:r>
          <a:r>
            <a:rPr lang="en-IN" sz="1100" baseline="0"/>
            <a:t>*2.75/(36500) ✅</a:t>
          </a:r>
          <a:endParaRPr lang="en-IN" sz="1100"/>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61CB45FA-B96E-4E1C-98E7-1AD3A613D9B6}" autoFormatId="16" applyNumberFormats="0" applyBorderFormats="0" applyFontFormats="0" applyPatternFormats="0" applyAlignmentFormats="0" applyWidthHeightFormats="0">
  <queryTableRefresh nextId="6">
    <queryTableFields count="5">
      <queryTableField id="1" name="DATE" tableColumnId="1"/>
      <queryTableField id="2" name="CHQ.NO." tableColumnId="2"/>
      <queryTableField id="3" name="WITHDRAWAL (DR)" tableColumnId="3"/>
      <queryTableField id="4" name="DEPOSIT (CR)" tableColumnId="4"/>
      <queryTableField id="5" name="BALANCE"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4EC3EC-B7F1-47C5-85BB-7A7773DDE57D}" name="Q3_" displayName="Q3_" ref="A1:E118" tableType="queryTable" totalsRowShown="0" headerRowDxfId="13">
  <autoFilter ref="A1:E118" xr:uid="{724EC3EC-B7F1-47C5-85BB-7A7773DDE57D}"/>
  <tableColumns count="5">
    <tableColumn id="1" xr3:uid="{05EC8BC6-CEEF-4041-B817-091F6D4CA9EA}" uniqueName="1" name="DATE" queryTableFieldId="1" dataDxfId="12"/>
    <tableColumn id="2" xr3:uid="{0396A6E6-89F3-4FB7-8ED6-AD1829E1FD00}" uniqueName="2" name="CHQ.NO." queryTableFieldId="2" dataDxfId="11"/>
    <tableColumn id="3" xr3:uid="{2C497B4F-8907-43E5-B598-73925A772B7F}" uniqueName="3" name="WITHDRAWAL (DR)" queryTableFieldId="3" dataDxfId="10"/>
    <tableColumn id="4" xr3:uid="{BF3FA733-EA8E-4995-B4D8-E63AB685C4F1}" uniqueName="4" name="DEPOSIT (CR)" queryTableFieldId="4" dataDxfId="9"/>
    <tableColumn id="5" xr3:uid="{4590103A-C439-4F11-A09B-D5EDB60C8539}" uniqueName="5" name="BALANCE" queryTableFieldId="5" dataDxfId="8"/>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FE2F37-EB7E-49F0-9AA9-E50DC3C05CC5}" name="Interest_Calculation" displayName="Interest_Calculation" ref="B2:E94" totalsRowShown="0" headerRowDxfId="7" headerRowBorderDxfId="6" tableBorderDxfId="5" totalsRowBorderDxfId="4">
  <autoFilter ref="B2:E94" xr:uid="{44FE2F37-EB7E-49F0-9AA9-E50DC3C05CC5}"/>
  <tableColumns count="4">
    <tableColumn id="1" xr3:uid="{8455BF98-4C51-41A4-A7AC-4B0583BE111C}" name="Dates" dataDxfId="3"/>
    <tableColumn id="2" xr3:uid="{7C915CB0-B76D-478D-8BCC-2E81C757DB1E}" name="Last Transaction" dataDxfId="2">
      <calculatedColumnFormula>_xlfn.XLOOKUP(B3,Q3_[DATE],Q3_[BALANCE],NA(),0,-1)</calculatedColumnFormula>
    </tableColumn>
    <tableColumn id="3" xr3:uid="{2A0C39B4-1A9F-42F9-ABE0-0442601FB820}" name="Closing Balance" dataDxfId="1">
      <calculatedColumnFormula>_xlfn.IFNA(VLOOKUP(B3,Interest_Calculation[],2,FALSE),D2)</calculatedColumnFormula>
    </tableColumn>
    <tableColumn id="4" xr3:uid="{045968F0-DDE1-4E76-BC0C-59712DF96092}" name="Interest" dataDxfId="0">
      <calculatedColumnFormula>D3*(2.75/365)/100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47"/>
  <sheetViews>
    <sheetView showGridLines="0" tabSelected="1" zoomScale="94" zoomScaleNormal="152" workbookViewId="0">
      <selection activeCell="D4" sqref="D4"/>
    </sheetView>
  </sheetViews>
  <sheetFormatPr defaultRowHeight="15" x14ac:dyDescent="0.25"/>
  <cols>
    <col min="1" max="1" width="4.85546875" customWidth="1"/>
    <col min="2" max="2" width="13.5703125" customWidth="1"/>
    <col min="4" max="4" width="15.42578125" customWidth="1"/>
    <col min="5" max="5" width="28.42578125" customWidth="1"/>
  </cols>
  <sheetData>
    <row r="2" spans="1:2" x14ac:dyDescent="0.25">
      <c r="B2" s="22" t="s">
        <v>14</v>
      </c>
    </row>
    <row r="3" spans="1:2" x14ac:dyDescent="0.25">
      <c r="A3" s="21"/>
      <c r="B3" s="8" t="str">
        <f>HYPERLINK("https://raw.githubusercontent.com/dubey-dhananjay/MS-Excel/refs/heads/main/Calculate%20Interest%20on%20Savings%20Account/November-2024.csv","November-2024")</f>
        <v>November-2024</v>
      </c>
    </row>
    <row r="4" spans="1:2" x14ac:dyDescent="0.25">
      <c r="B4" s="8" t="str">
        <f>HYPERLINK("https://raw.githubusercontent.com/dubey-dhananjay/MS-Excel/refs/heads/main/Calculate%20Interest%20on%20Savings%20Account/December-2024.csv","December-2024")</f>
        <v>December-2024</v>
      </c>
    </row>
    <row r="5" spans="1:2" x14ac:dyDescent="0.25">
      <c r="B5" s="8" t="str">
        <f>HYPERLINK("https://raw.githubusercontent.com/dubey-dhananjay/MS-Excel/refs/heads/main/Calculate%20Interest%20on%20Savings%20Account/January-2025.csv","January-2024")</f>
        <v>January-2024</v>
      </c>
    </row>
    <row r="40" spans="4:5" ht="15.75" thickBot="1" x14ac:dyDescent="0.3"/>
    <row r="41" spans="4:5" ht="15.75" thickBot="1" x14ac:dyDescent="0.3">
      <c r="D41" s="24" t="s">
        <v>15</v>
      </c>
      <c r="E41" s="24" t="s">
        <v>16</v>
      </c>
    </row>
    <row r="42" spans="4:5" ht="15.75" thickBot="1" x14ac:dyDescent="0.3">
      <c r="D42" s="23" t="s">
        <v>24</v>
      </c>
      <c r="E42" s="23" t="s">
        <v>23</v>
      </c>
    </row>
    <row r="43" spans="4:5" ht="15.75" thickBot="1" x14ac:dyDescent="0.3">
      <c r="D43" s="23" t="s">
        <v>17</v>
      </c>
      <c r="E43" s="23" t="s">
        <v>18</v>
      </c>
    </row>
    <row r="44" spans="4:5" ht="15.75" thickBot="1" x14ac:dyDescent="0.3">
      <c r="D44" s="23" t="s">
        <v>19</v>
      </c>
      <c r="E44" s="23" t="s">
        <v>20</v>
      </c>
    </row>
    <row r="45" spans="4:5" ht="15.75" thickBot="1" x14ac:dyDescent="0.3">
      <c r="D45" s="23" t="s">
        <v>21</v>
      </c>
      <c r="E45" s="23" t="s">
        <v>22</v>
      </c>
    </row>
    <row r="47" spans="4:5" x14ac:dyDescent="0.25">
      <c r="D47" s="25" t="s">
        <v>25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ADE27-EABA-4A34-9D7D-DF325BF27913}">
  <dimension ref="A1:E118"/>
  <sheetViews>
    <sheetView showGridLines="0" workbookViewId="0">
      <selection activeCell="G3" sqref="G3"/>
    </sheetView>
  </sheetViews>
  <sheetFormatPr defaultRowHeight="15" x14ac:dyDescent="0.25"/>
  <cols>
    <col min="1" max="1" width="10.140625" bestFit="1" customWidth="1"/>
    <col min="2" max="2" width="10.5703125" bestFit="1" customWidth="1"/>
    <col min="3" max="3" width="19.42578125" bestFit="1" customWidth="1"/>
    <col min="4" max="4" width="14.140625" bestFit="1" customWidth="1"/>
    <col min="5" max="5" width="10.7109375" bestFit="1" customWidth="1"/>
  </cols>
  <sheetData>
    <row r="1" spans="1:5" x14ac:dyDescent="0.25">
      <c r="A1" s="19" t="s">
        <v>0</v>
      </c>
      <c r="B1" s="19" t="s">
        <v>1</v>
      </c>
      <c r="C1" s="19" t="s">
        <v>2</v>
      </c>
      <c r="D1" s="19" t="s">
        <v>3</v>
      </c>
      <c r="E1" s="19" t="s">
        <v>4</v>
      </c>
    </row>
    <row r="2" spans="1:5" x14ac:dyDescent="0.25">
      <c r="A2" s="20">
        <v>45597</v>
      </c>
      <c r="B2" s="2" t="s">
        <v>5</v>
      </c>
      <c r="C2" s="2"/>
      <c r="D2" s="2"/>
      <c r="E2" s="2">
        <v>118</v>
      </c>
    </row>
    <row r="3" spans="1:5" x14ac:dyDescent="0.25">
      <c r="A3" s="20">
        <v>45599</v>
      </c>
      <c r="B3" s="2" t="s">
        <v>5</v>
      </c>
      <c r="C3" s="2"/>
      <c r="D3" s="2">
        <v>56</v>
      </c>
      <c r="E3" s="2">
        <v>174</v>
      </c>
    </row>
    <row r="4" spans="1:5" x14ac:dyDescent="0.25">
      <c r="A4" s="20">
        <v>45600</v>
      </c>
      <c r="B4" s="2" t="s">
        <v>5</v>
      </c>
      <c r="C4" s="2">
        <v>5</v>
      </c>
      <c r="D4" s="2"/>
      <c r="E4" s="2">
        <v>169</v>
      </c>
    </row>
    <row r="5" spans="1:5" x14ac:dyDescent="0.25">
      <c r="A5" s="20">
        <v>45600</v>
      </c>
      <c r="B5" s="2" t="s">
        <v>5</v>
      </c>
      <c r="C5" s="2">
        <v>5</v>
      </c>
      <c r="D5" s="2"/>
      <c r="E5" s="2">
        <v>164</v>
      </c>
    </row>
    <row r="6" spans="1:5" x14ac:dyDescent="0.25">
      <c r="A6" s="20">
        <v>45601</v>
      </c>
      <c r="B6" s="2" t="s">
        <v>5</v>
      </c>
      <c r="C6" s="2"/>
      <c r="D6" s="2">
        <v>300</v>
      </c>
      <c r="E6" s="2">
        <v>464</v>
      </c>
    </row>
    <row r="7" spans="1:5" x14ac:dyDescent="0.25">
      <c r="A7" s="20">
        <v>45601</v>
      </c>
      <c r="B7" s="2" t="s">
        <v>5</v>
      </c>
      <c r="C7" s="2">
        <v>30</v>
      </c>
      <c r="D7" s="2"/>
      <c r="E7" s="2">
        <v>434</v>
      </c>
    </row>
    <row r="8" spans="1:5" x14ac:dyDescent="0.25">
      <c r="A8" s="20">
        <v>45601</v>
      </c>
      <c r="B8" s="2" t="s">
        <v>5</v>
      </c>
      <c r="C8" s="2">
        <v>10</v>
      </c>
      <c r="D8" s="2"/>
      <c r="E8" s="2">
        <v>424</v>
      </c>
    </row>
    <row r="9" spans="1:5" x14ac:dyDescent="0.25">
      <c r="A9" s="20">
        <v>45602</v>
      </c>
      <c r="B9" s="2" t="s">
        <v>5</v>
      </c>
      <c r="C9" s="2"/>
      <c r="D9" s="2">
        <v>200000</v>
      </c>
      <c r="E9" s="2">
        <v>200424</v>
      </c>
    </row>
    <row r="10" spans="1:5" x14ac:dyDescent="0.25">
      <c r="A10" s="20">
        <v>45602</v>
      </c>
      <c r="B10" s="2" t="s">
        <v>5</v>
      </c>
      <c r="C10" s="2">
        <v>80</v>
      </c>
      <c r="D10" s="2"/>
      <c r="E10" s="2">
        <v>200344</v>
      </c>
    </row>
    <row r="11" spans="1:5" x14ac:dyDescent="0.25">
      <c r="A11" s="20">
        <v>45602</v>
      </c>
      <c r="B11" s="2" t="s">
        <v>5</v>
      </c>
      <c r="C11" s="2">
        <v>50</v>
      </c>
      <c r="D11" s="2"/>
      <c r="E11" s="2">
        <v>200294</v>
      </c>
    </row>
    <row r="12" spans="1:5" x14ac:dyDescent="0.25">
      <c r="A12" s="20">
        <v>45603</v>
      </c>
      <c r="B12" s="2" t="s">
        <v>5</v>
      </c>
      <c r="C12" s="2">
        <v>200000</v>
      </c>
      <c r="D12" s="2"/>
      <c r="E12" s="2">
        <v>294</v>
      </c>
    </row>
    <row r="13" spans="1:5" x14ac:dyDescent="0.25">
      <c r="A13" s="20">
        <v>45606</v>
      </c>
      <c r="B13" s="2" t="s">
        <v>5</v>
      </c>
      <c r="C13" s="2">
        <v>20</v>
      </c>
      <c r="D13" s="2"/>
      <c r="E13" s="2">
        <v>274</v>
      </c>
    </row>
    <row r="14" spans="1:5" x14ac:dyDescent="0.25">
      <c r="A14" s="20">
        <v>45607</v>
      </c>
      <c r="B14" s="2" t="s">
        <v>5</v>
      </c>
      <c r="C14" s="2">
        <v>20</v>
      </c>
      <c r="D14" s="2"/>
      <c r="E14" s="2">
        <v>254</v>
      </c>
    </row>
    <row r="15" spans="1:5" x14ac:dyDescent="0.25">
      <c r="A15" s="20">
        <v>45607</v>
      </c>
      <c r="B15" s="2" t="s">
        <v>5</v>
      </c>
      <c r="C15" s="2">
        <v>15</v>
      </c>
      <c r="D15" s="2"/>
      <c r="E15" s="2">
        <v>239</v>
      </c>
    </row>
    <row r="16" spans="1:5" x14ac:dyDescent="0.25">
      <c r="A16" s="20">
        <v>45609</v>
      </c>
      <c r="B16" s="2" t="s">
        <v>5</v>
      </c>
      <c r="C16" s="2">
        <v>25</v>
      </c>
      <c r="D16" s="2"/>
      <c r="E16" s="2">
        <v>214</v>
      </c>
    </row>
    <row r="17" spans="1:5" x14ac:dyDescent="0.25">
      <c r="A17" s="20">
        <v>45610</v>
      </c>
      <c r="B17" s="2" t="s">
        <v>5</v>
      </c>
      <c r="C17" s="2"/>
      <c r="D17" s="2">
        <v>2000</v>
      </c>
      <c r="E17" s="2">
        <v>2214</v>
      </c>
    </row>
    <row r="18" spans="1:5" x14ac:dyDescent="0.25">
      <c r="A18" s="20">
        <v>45610</v>
      </c>
      <c r="B18" s="2" t="s">
        <v>5</v>
      </c>
      <c r="C18" s="2">
        <v>2000</v>
      </c>
      <c r="D18" s="2"/>
      <c r="E18" s="2">
        <v>214</v>
      </c>
    </row>
    <row r="19" spans="1:5" x14ac:dyDescent="0.25">
      <c r="A19" s="20">
        <v>45610</v>
      </c>
      <c r="B19" s="2" t="s">
        <v>5</v>
      </c>
      <c r="C19" s="2"/>
      <c r="D19" s="2">
        <v>500</v>
      </c>
      <c r="E19" s="2">
        <v>714</v>
      </c>
    </row>
    <row r="20" spans="1:5" x14ac:dyDescent="0.25">
      <c r="A20" s="20">
        <v>45611</v>
      </c>
      <c r="B20" s="2" t="s">
        <v>5</v>
      </c>
      <c r="C20" s="2">
        <v>15</v>
      </c>
      <c r="D20" s="2"/>
      <c r="E20" s="2">
        <v>699</v>
      </c>
    </row>
    <row r="21" spans="1:5" x14ac:dyDescent="0.25">
      <c r="A21" s="20">
        <v>45612</v>
      </c>
      <c r="B21" s="2" t="s">
        <v>5</v>
      </c>
      <c r="C21" s="2">
        <v>10</v>
      </c>
      <c r="D21" s="2"/>
      <c r="E21" s="2">
        <v>689</v>
      </c>
    </row>
    <row r="22" spans="1:5" x14ac:dyDescent="0.25">
      <c r="A22" s="20">
        <v>45612</v>
      </c>
      <c r="B22" s="2" t="s">
        <v>5</v>
      </c>
      <c r="C22" s="2">
        <v>25</v>
      </c>
      <c r="D22" s="2"/>
      <c r="E22" s="2">
        <v>664</v>
      </c>
    </row>
    <row r="23" spans="1:5" x14ac:dyDescent="0.25">
      <c r="A23" s="20">
        <v>45613</v>
      </c>
      <c r="B23" s="2" t="s">
        <v>5</v>
      </c>
      <c r="C23" s="2">
        <v>5</v>
      </c>
      <c r="D23" s="2"/>
      <c r="E23" s="2">
        <v>659</v>
      </c>
    </row>
    <row r="24" spans="1:5" x14ac:dyDescent="0.25">
      <c r="A24" s="20">
        <v>45613</v>
      </c>
      <c r="B24" s="2" t="s">
        <v>5</v>
      </c>
      <c r="C24" s="2">
        <v>20</v>
      </c>
      <c r="D24" s="2"/>
      <c r="E24" s="2">
        <v>639</v>
      </c>
    </row>
    <row r="25" spans="1:5" x14ac:dyDescent="0.25">
      <c r="A25" s="20">
        <v>45613</v>
      </c>
      <c r="B25" s="2" t="s">
        <v>5</v>
      </c>
      <c r="C25" s="2">
        <v>15</v>
      </c>
      <c r="D25" s="2"/>
      <c r="E25" s="2">
        <v>624</v>
      </c>
    </row>
    <row r="26" spans="1:5" x14ac:dyDescent="0.25">
      <c r="A26" s="20">
        <v>45613</v>
      </c>
      <c r="B26" s="2" t="s">
        <v>5</v>
      </c>
      <c r="C26" s="2">
        <v>15</v>
      </c>
      <c r="D26" s="2"/>
      <c r="E26" s="2">
        <v>609</v>
      </c>
    </row>
    <row r="27" spans="1:5" x14ac:dyDescent="0.25">
      <c r="A27" s="20">
        <v>45613</v>
      </c>
      <c r="B27" s="2" t="s">
        <v>5</v>
      </c>
      <c r="C27" s="2">
        <v>5</v>
      </c>
      <c r="D27" s="2"/>
      <c r="E27" s="2">
        <v>604</v>
      </c>
    </row>
    <row r="28" spans="1:5" x14ac:dyDescent="0.25">
      <c r="A28" s="20">
        <v>45613</v>
      </c>
      <c r="B28" s="2" t="s">
        <v>5</v>
      </c>
      <c r="C28" s="2">
        <v>20</v>
      </c>
      <c r="D28" s="2"/>
      <c r="E28" s="2">
        <v>584</v>
      </c>
    </row>
    <row r="29" spans="1:5" x14ac:dyDescent="0.25">
      <c r="A29" s="20">
        <v>45614</v>
      </c>
      <c r="B29" s="2" t="s">
        <v>5</v>
      </c>
      <c r="C29" s="2">
        <v>10</v>
      </c>
      <c r="D29" s="2"/>
      <c r="E29" s="2">
        <v>574</v>
      </c>
    </row>
    <row r="30" spans="1:5" x14ac:dyDescent="0.25">
      <c r="A30" s="20">
        <v>45615</v>
      </c>
      <c r="B30" s="2" t="s">
        <v>5</v>
      </c>
      <c r="C30" s="2">
        <v>20</v>
      </c>
      <c r="D30" s="2"/>
      <c r="E30" s="2">
        <v>554</v>
      </c>
    </row>
    <row r="31" spans="1:5" x14ac:dyDescent="0.25">
      <c r="A31" s="20">
        <v>45616</v>
      </c>
      <c r="B31" s="2" t="s">
        <v>5</v>
      </c>
      <c r="C31" s="2">
        <v>25</v>
      </c>
      <c r="D31" s="2"/>
      <c r="E31" s="2">
        <v>529</v>
      </c>
    </row>
    <row r="32" spans="1:5" x14ac:dyDescent="0.25">
      <c r="A32" s="20">
        <v>45616</v>
      </c>
      <c r="B32" s="2" t="s">
        <v>5</v>
      </c>
      <c r="C32" s="2">
        <v>5</v>
      </c>
      <c r="D32" s="2"/>
      <c r="E32" s="2">
        <v>524</v>
      </c>
    </row>
    <row r="33" spans="1:5" x14ac:dyDescent="0.25">
      <c r="A33" s="20">
        <v>45617</v>
      </c>
      <c r="B33" s="2" t="s">
        <v>5</v>
      </c>
      <c r="C33" s="2">
        <v>5</v>
      </c>
      <c r="D33" s="2"/>
      <c r="E33" s="2">
        <v>519</v>
      </c>
    </row>
    <row r="34" spans="1:5" x14ac:dyDescent="0.25">
      <c r="A34" s="20">
        <v>45617</v>
      </c>
      <c r="B34" s="2" t="s">
        <v>5</v>
      </c>
      <c r="C34" s="2"/>
      <c r="D34" s="2">
        <v>4000</v>
      </c>
      <c r="E34" s="2">
        <v>4519</v>
      </c>
    </row>
    <row r="35" spans="1:5" x14ac:dyDescent="0.25">
      <c r="A35" s="20">
        <v>45617</v>
      </c>
      <c r="B35" s="2" t="s">
        <v>5</v>
      </c>
      <c r="C35" s="2">
        <v>2000</v>
      </c>
      <c r="D35" s="2"/>
      <c r="E35" s="2">
        <v>2519</v>
      </c>
    </row>
    <row r="36" spans="1:5" x14ac:dyDescent="0.25">
      <c r="A36" s="20">
        <v>45617</v>
      </c>
      <c r="B36" s="2" t="s">
        <v>5</v>
      </c>
      <c r="C36" s="2">
        <v>15</v>
      </c>
      <c r="D36" s="2"/>
      <c r="E36" s="2">
        <v>2504</v>
      </c>
    </row>
    <row r="37" spans="1:5" x14ac:dyDescent="0.25">
      <c r="A37" s="20">
        <v>45619</v>
      </c>
      <c r="B37" s="2" t="s">
        <v>5</v>
      </c>
      <c r="C37" s="2">
        <v>680</v>
      </c>
      <c r="D37" s="2"/>
      <c r="E37" s="2">
        <v>1824</v>
      </c>
    </row>
    <row r="38" spans="1:5" x14ac:dyDescent="0.25">
      <c r="A38" s="20">
        <v>45620</v>
      </c>
      <c r="B38" s="2" t="s">
        <v>5</v>
      </c>
      <c r="C38" s="2">
        <v>20</v>
      </c>
      <c r="D38" s="2"/>
      <c r="E38" s="2">
        <v>1804</v>
      </c>
    </row>
    <row r="39" spans="1:5" x14ac:dyDescent="0.25">
      <c r="A39" s="20">
        <v>45621</v>
      </c>
      <c r="B39" s="2" t="s">
        <v>5</v>
      </c>
      <c r="C39" s="2"/>
      <c r="D39" s="2">
        <v>806</v>
      </c>
      <c r="E39" s="2">
        <v>2610</v>
      </c>
    </row>
    <row r="40" spans="1:5" x14ac:dyDescent="0.25">
      <c r="A40" s="20">
        <v>45621</v>
      </c>
      <c r="B40" s="2" t="s">
        <v>5</v>
      </c>
      <c r="C40" s="2">
        <v>806</v>
      </c>
      <c r="D40" s="2"/>
      <c r="E40" s="2">
        <v>1804</v>
      </c>
    </row>
    <row r="41" spans="1:5" x14ac:dyDescent="0.25">
      <c r="A41" s="20">
        <v>45621</v>
      </c>
      <c r="B41" s="2" t="s">
        <v>5</v>
      </c>
      <c r="C41" s="2">
        <v>500</v>
      </c>
      <c r="D41" s="2"/>
      <c r="E41" s="2">
        <v>1304</v>
      </c>
    </row>
    <row r="42" spans="1:5" x14ac:dyDescent="0.25">
      <c r="A42" s="20">
        <v>45621</v>
      </c>
      <c r="B42" s="2" t="s">
        <v>5</v>
      </c>
      <c r="C42" s="2">
        <v>2</v>
      </c>
      <c r="D42" s="2"/>
      <c r="E42" s="2">
        <v>1302</v>
      </c>
    </row>
    <row r="43" spans="1:5" x14ac:dyDescent="0.25">
      <c r="A43" s="20">
        <v>45622</v>
      </c>
      <c r="B43" s="2" t="s">
        <v>5</v>
      </c>
      <c r="C43" s="2">
        <v>75</v>
      </c>
      <c r="D43" s="2"/>
      <c r="E43" s="2">
        <v>1227</v>
      </c>
    </row>
    <row r="44" spans="1:5" x14ac:dyDescent="0.25">
      <c r="A44" s="20">
        <v>45622</v>
      </c>
      <c r="B44" s="2" t="s">
        <v>5</v>
      </c>
      <c r="C44" s="2">
        <v>15</v>
      </c>
      <c r="D44" s="2"/>
      <c r="E44" s="2">
        <v>1212</v>
      </c>
    </row>
    <row r="45" spans="1:5" x14ac:dyDescent="0.25">
      <c r="A45" s="20">
        <v>45623</v>
      </c>
      <c r="B45" s="2" t="s">
        <v>5</v>
      </c>
      <c r="C45" s="2">
        <v>200</v>
      </c>
      <c r="D45" s="2"/>
      <c r="E45" s="2">
        <v>1012</v>
      </c>
    </row>
    <row r="46" spans="1:5" x14ac:dyDescent="0.25">
      <c r="A46" s="20">
        <v>45623</v>
      </c>
      <c r="B46" s="2" t="s">
        <v>5</v>
      </c>
      <c r="C46" s="2"/>
      <c r="D46" s="2">
        <v>5</v>
      </c>
      <c r="E46" s="2">
        <v>1017</v>
      </c>
    </row>
    <row r="47" spans="1:5" x14ac:dyDescent="0.25">
      <c r="A47" s="20">
        <v>45623</v>
      </c>
      <c r="B47" s="2" t="s">
        <v>5</v>
      </c>
      <c r="C47" s="2">
        <v>5</v>
      </c>
      <c r="D47" s="2"/>
      <c r="E47" s="2">
        <v>1012</v>
      </c>
    </row>
    <row r="48" spans="1:5" x14ac:dyDescent="0.25">
      <c r="A48" s="20">
        <v>45623</v>
      </c>
      <c r="B48" s="2" t="s">
        <v>5</v>
      </c>
      <c r="C48" s="2">
        <v>10</v>
      </c>
      <c r="D48" s="2"/>
      <c r="E48" s="2">
        <v>1002</v>
      </c>
    </row>
    <row r="49" spans="1:5" x14ac:dyDescent="0.25">
      <c r="A49" s="20">
        <v>45624</v>
      </c>
      <c r="B49" s="2" t="s">
        <v>5</v>
      </c>
      <c r="C49" s="2">
        <v>15</v>
      </c>
      <c r="D49" s="2"/>
      <c r="E49" s="2">
        <v>987</v>
      </c>
    </row>
    <row r="50" spans="1:5" x14ac:dyDescent="0.25">
      <c r="A50" s="20">
        <v>45625</v>
      </c>
      <c r="B50" s="2" t="s">
        <v>5</v>
      </c>
      <c r="C50" s="2">
        <v>479</v>
      </c>
      <c r="D50" s="2"/>
      <c r="E50" s="2">
        <v>508</v>
      </c>
    </row>
    <row r="51" spans="1:5" x14ac:dyDescent="0.25">
      <c r="A51" s="20">
        <v>45625</v>
      </c>
      <c r="B51" s="2" t="s">
        <v>5</v>
      </c>
      <c r="C51" s="2">
        <v>20</v>
      </c>
      <c r="D51" s="2"/>
      <c r="E51" s="2">
        <v>488</v>
      </c>
    </row>
    <row r="52" spans="1:5" x14ac:dyDescent="0.25">
      <c r="A52" s="20">
        <v>45626</v>
      </c>
      <c r="B52" s="2" t="s">
        <v>5</v>
      </c>
      <c r="C52" s="2">
        <v>195.9</v>
      </c>
      <c r="D52" s="2"/>
      <c r="E52" s="2">
        <v>292.10000000000002</v>
      </c>
    </row>
    <row r="53" spans="1:5" x14ac:dyDescent="0.25">
      <c r="A53" s="20">
        <v>45626</v>
      </c>
      <c r="B53" s="2" t="s">
        <v>5</v>
      </c>
      <c r="C53" s="2">
        <v>110</v>
      </c>
      <c r="D53" s="2"/>
      <c r="E53" s="2">
        <v>182.1</v>
      </c>
    </row>
    <row r="54" spans="1:5" x14ac:dyDescent="0.25">
      <c r="A54" s="20">
        <v>45626</v>
      </c>
      <c r="B54" s="2" t="s">
        <v>5</v>
      </c>
      <c r="C54" s="2"/>
      <c r="D54" s="2">
        <v>4000</v>
      </c>
      <c r="E54" s="2">
        <v>4182.1000000000004</v>
      </c>
    </row>
    <row r="55" spans="1:5" x14ac:dyDescent="0.25">
      <c r="A55" s="20">
        <v>45626</v>
      </c>
      <c r="B55" s="2" t="s">
        <v>5</v>
      </c>
      <c r="C55" s="2"/>
      <c r="D55" s="2">
        <v>300</v>
      </c>
      <c r="E55" s="2">
        <v>4482.1000000000004</v>
      </c>
    </row>
    <row r="56" spans="1:5" x14ac:dyDescent="0.25">
      <c r="A56" s="20">
        <v>45626</v>
      </c>
      <c r="B56" s="2" t="s">
        <v>5</v>
      </c>
      <c r="C56" s="2"/>
      <c r="D56" s="2">
        <v>200</v>
      </c>
      <c r="E56" s="2">
        <v>4682.1000000000004</v>
      </c>
    </row>
    <row r="57" spans="1:5" x14ac:dyDescent="0.25">
      <c r="A57" s="20">
        <v>45626</v>
      </c>
      <c r="B57" s="2" t="s">
        <v>5</v>
      </c>
      <c r="C57" s="2"/>
      <c r="D57" s="2"/>
      <c r="E57" s="2">
        <v>4682.1000000000004</v>
      </c>
    </row>
    <row r="58" spans="1:5" x14ac:dyDescent="0.25">
      <c r="A58" s="20">
        <v>45627</v>
      </c>
      <c r="B58" s="2" t="s">
        <v>5</v>
      </c>
      <c r="C58" s="2"/>
      <c r="D58" s="2"/>
      <c r="E58" s="2">
        <v>4682.1000000000004</v>
      </c>
    </row>
    <row r="59" spans="1:5" x14ac:dyDescent="0.25">
      <c r="A59" s="20">
        <v>45628</v>
      </c>
      <c r="B59" s="2" t="s">
        <v>5</v>
      </c>
      <c r="C59" s="2">
        <v>500.1</v>
      </c>
      <c r="D59" s="2"/>
      <c r="E59" s="2">
        <v>4182</v>
      </c>
    </row>
    <row r="60" spans="1:5" x14ac:dyDescent="0.25">
      <c r="A60" s="20">
        <v>45631</v>
      </c>
      <c r="B60" s="2" t="s">
        <v>5</v>
      </c>
      <c r="C60" s="2"/>
      <c r="D60" s="2">
        <v>1</v>
      </c>
      <c r="E60" s="2">
        <v>4183</v>
      </c>
    </row>
    <row r="61" spans="1:5" x14ac:dyDescent="0.25">
      <c r="A61" s="20">
        <v>45631</v>
      </c>
      <c r="B61" s="2" t="s">
        <v>5</v>
      </c>
      <c r="C61" s="2"/>
      <c r="D61" s="2">
        <v>100</v>
      </c>
      <c r="E61" s="2">
        <v>4283</v>
      </c>
    </row>
    <row r="62" spans="1:5" x14ac:dyDescent="0.25">
      <c r="A62" s="20">
        <v>45632</v>
      </c>
      <c r="B62" s="2" t="s">
        <v>5</v>
      </c>
      <c r="C62" s="2"/>
      <c r="D62" s="2">
        <v>20</v>
      </c>
      <c r="E62" s="2">
        <v>4303</v>
      </c>
    </row>
    <row r="63" spans="1:5" x14ac:dyDescent="0.25">
      <c r="A63" s="20">
        <v>45634</v>
      </c>
      <c r="B63" s="2" t="s">
        <v>5</v>
      </c>
      <c r="C63" s="2"/>
      <c r="D63" s="2">
        <v>1000</v>
      </c>
      <c r="E63" s="2">
        <v>5303</v>
      </c>
    </row>
    <row r="64" spans="1:5" x14ac:dyDescent="0.25">
      <c r="A64" s="20">
        <v>45634</v>
      </c>
      <c r="B64" s="2" t="s">
        <v>5</v>
      </c>
      <c r="C64" s="2">
        <v>5000</v>
      </c>
      <c r="D64" s="2"/>
      <c r="E64" s="2">
        <v>303</v>
      </c>
    </row>
    <row r="65" spans="1:5" x14ac:dyDescent="0.25">
      <c r="A65" s="20">
        <v>45635</v>
      </c>
      <c r="B65" s="2" t="s">
        <v>5</v>
      </c>
      <c r="C65" s="2"/>
      <c r="D65" s="2">
        <v>2000</v>
      </c>
      <c r="E65" s="2">
        <v>2303</v>
      </c>
    </row>
    <row r="66" spans="1:5" x14ac:dyDescent="0.25">
      <c r="A66" s="20">
        <v>45636</v>
      </c>
      <c r="B66" s="2" t="s">
        <v>5</v>
      </c>
      <c r="C66" s="2"/>
      <c r="D66" s="2">
        <v>60</v>
      </c>
      <c r="E66" s="2">
        <v>2363</v>
      </c>
    </row>
    <row r="67" spans="1:5" x14ac:dyDescent="0.25">
      <c r="A67" s="20">
        <v>45636</v>
      </c>
      <c r="B67" s="2" t="s">
        <v>5</v>
      </c>
      <c r="C67" s="2">
        <v>245</v>
      </c>
      <c r="D67" s="2"/>
      <c r="E67" s="2">
        <v>2118</v>
      </c>
    </row>
    <row r="68" spans="1:5" x14ac:dyDescent="0.25">
      <c r="A68" s="20">
        <v>45637</v>
      </c>
      <c r="B68" s="2" t="s">
        <v>5</v>
      </c>
      <c r="C68" s="2">
        <v>500</v>
      </c>
      <c r="D68" s="2"/>
      <c r="E68" s="2">
        <v>1618</v>
      </c>
    </row>
    <row r="69" spans="1:5" x14ac:dyDescent="0.25">
      <c r="A69" s="20">
        <v>45638</v>
      </c>
      <c r="B69" s="2" t="s">
        <v>5</v>
      </c>
      <c r="C69" s="2"/>
      <c r="D69" s="2">
        <v>200</v>
      </c>
      <c r="E69" s="2">
        <v>1818</v>
      </c>
    </row>
    <row r="70" spans="1:5" x14ac:dyDescent="0.25">
      <c r="A70" s="20">
        <v>45639</v>
      </c>
      <c r="B70" s="2" t="s">
        <v>5</v>
      </c>
      <c r="C70" s="2"/>
      <c r="D70" s="2">
        <v>60</v>
      </c>
      <c r="E70" s="2">
        <v>1878</v>
      </c>
    </row>
    <row r="71" spans="1:5" x14ac:dyDescent="0.25">
      <c r="A71" s="20">
        <v>45646</v>
      </c>
      <c r="B71" s="2" t="s">
        <v>5</v>
      </c>
      <c r="C71" s="2">
        <v>60</v>
      </c>
      <c r="D71" s="2"/>
      <c r="E71" s="2">
        <v>1818</v>
      </c>
    </row>
    <row r="72" spans="1:5" x14ac:dyDescent="0.25">
      <c r="A72" s="20">
        <v>45648</v>
      </c>
      <c r="B72" s="2" t="s">
        <v>5</v>
      </c>
      <c r="C72" s="2">
        <v>100</v>
      </c>
      <c r="D72" s="2"/>
      <c r="E72" s="2">
        <v>1718</v>
      </c>
    </row>
    <row r="73" spans="1:5" x14ac:dyDescent="0.25">
      <c r="A73" s="20">
        <v>45651</v>
      </c>
      <c r="B73" s="2" t="s">
        <v>5</v>
      </c>
      <c r="C73" s="2">
        <v>200</v>
      </c>
      <c r="D73" s="2"/>
      <c r="E73" s="2">
        <v>1518</v>
      </c>
    </row>
    <row r="74" spans="1:5" x14ac:dyDescent="0.25">
      <c r="A74" s="20">
        <v>45652</v>
      </c>
      <c r="B74" s="2" t="s">
        <v>5</v>
      </c>
      <c r="C74" s="2"/>
      <c r="D74" s="2">
        <v>35</v>
      </c>
      <c r="E74" s="2">
        <v>1553</v>
      </c>
    </row>
    <row r="75" spans="1:5" x14ac:dyDescent="0.25">
      <c r="A75" s="20">
        <v>45654</v>
      </c>
      <c r="B75" s="2" t="s">
        <v>5</v>
      </c>
      <c r="C75" s="2"/>
      <c r="D75" s="2">
        <v>2900</v>
      </c>
      <c r="E75" s="2">
        <v>4453</v>
      </c>
    </row>
    <row r="76" spans="1:5" x14ac:dyDescent="0.25">
      <c r="A76" s="20">
        <v>45654</v>
      </c>
      <c r="B76" s="2" t="s">
        <v>5</v>
      </c>
      <c r="C76" s="2">
        <v>4106</v>
      </c>
      <c r="D76" s="2"/>
      <c r="E76" s="2">
        <v>347</v>
      </c>
    </row>
    <row r="77" spans="1:5" x14ac:dyDescent="0.25">
      <c r="A77" s="20">
        <v>45654</v>
      </c>
      <c r="B77" s="2" t="s">
        <v>5</v>
      </c>
      <c r="C77" s="2">
        <v>109</v>
      </c>
      <c r="D77" s="2"/>
      <c r="E77" s="2">
        <v>238</v>
      </c>
    </row>
    <row r="78" spans="1:5" x14ac:dyDescent="0.25">
      <c r="A78" s="20">
        <v>45655</v>
      </c>
      <c r="B78" s="2" t="s">
        <v>5</v>
      </c>
      <c r="C78" s="2"/>
      <c r="D78" s="2">
        <v>30</v>
      </c>
      <c r="E78" s="2">
        <v>268</v>
      </c>
    </row>
    <row r="79" spans="1:5" x14ac:dyDescent="0.25">
      <c r="A79" s="20">
        <v>45655</v>
      </c>
      <c r="B79" s="2" t="s">
        <v>5</v>
      </c>
      <c r="C79" s="2"/>
      <c r="D79" s="2">
        <v>15</v>
      </c>
      <c r="E79" s="2">
        <v>283</v>
      </c>
    </row>
    <row r="80" spans="1:5" x14ac:dyDescent="0.25">
      <c r="A80" s="20">
        <v>45655</v>
      </c>
      <c r="B80" s="2" t="s">
        <v>5</v>
      </c>
      <c r="C80" s="2">
        <v>65</v>
      </c>
      <c r="D80" s="2"/>
      <c r="E80" s="2">
        <v>218</v>
      </c>
    </row>
    <row r="81" spans="1:5" x14ac:dyDescent="0.25">
      <c r="A81" s="20">
        <v>45657</v>
      </c>
      <c r="B81" s="2" t="s">
        <v>5</v>
      </c>
      <c r="C81" s="2"/>
      <c r="D81" s="2"/>
      <c r="E81" s="2">
        <v>218</v>
      </c>
    </row>
    <row r="82" spans="1:5" x14ac:dyDescent="0.25">
      <c r="A82" s="20">
        <v>45658</v>
      </c>
      <c r="B82" s="2" t="s">
        <v>5</v>
      </c>
      <c r="C82" s="2"/>
      <c r="D82" s="2"/>
      <c r="E82" s="2">
        <v>218</v>
      </c>
    </row>
    <row r="83" spans="1:5" x14ac:dyDescent="0.25">
      <c r="A83" s="20">
        <v>45659</v>
      </c>
      <c r="B83" s="2" t="s">
        <v>5</v>
      </c>
      <c r="C83" s="2">
        <v>50</v>
      </c>
      <c r="D83" s="2"/>
      <c r="E83" s="2">
        <v>168</v>
      </c>
    </row>
    <row r="84" spans="1:5" x14ac:dyDescent="0.25">
      <c r="A84" s="20">
        <v>45661</v>
      </c>
      <c r="B84" s="2" t="s">
        <v>5</v>
      </c>
      <c r="C84" s="2">
        <v>50</v>
      </c>
      <c r="D84" s="2"/>
      <c r="E84" s="2">
        <v>118</v>
      </c>
    </row>
    <row r="85" spans="1:5" x14ac:dyDescent="0.25">
      <c r="A85" s="20">
        <v>45666</v>
      </c>
      <c r="B85" s="2" t="s">
        <v>5</v>
      </c>
      <c r="C85" s="2"/>
      <c r="D85" s="2">
        <v>35</v>
      </c>
      <c r="E85" s="2">
        <v>153</v>
      </c>
    </row>
    <row r="86" spans="1:5" x14ac:dyDescent="0.25">
      <c r="A86" s="20">
        <v>45666</v>
      </c>
      <c r="B86" s="2" t="s">
        <v>5</v>
      </c>
      <c r="C86" s="2"/>
      <c r="D86" s="2">
        <v>15</v>
      </c>
      <c r="E86" s="2">
        <v>168</v>
      </c>
    </row>
    <row r="87" spans="1:5" x14ac:dyDescent="0.25">
      <c r="A87" s="20">
        <v>45666</v>
      </c>
      <c r="B87" s="2" t="s">
        <v>5</v>
      </c>
      <c r="C87" s="2">
        <v>50</v>
      </c>
      <c r="D87" s="2"/>
      <c r="E87" s="2">
        <v>118</v>
      </c>
    </row>
    <row r="88" spans="1:5" x14ac:dyDescent="0.25">
      <c r="A88" s="20">
        <v>45669</v>
      </c>
      <c r="B88" s="2" t="s">
        <v>5</v>
      </c>
      <c r="C88" s="2"/>
      <c r="D88" s="2">
        <v>15000</v>
      </c>
      <c r="E88" s="2">
        <v>15118</v>
      </c>
    </row>
    <row r="89" spans="1:5" x14ac:dyDescent="0.25">
      <c r="A89" s="20">
        <v>45669</v>
      </c>
      <c r="B89" s="2" t="s">
        <v>5</v>
      </c>
      <c r="C89" s="2"/>
      <c r="D89" s="2">
        <v>150</v>
      </c>
      <c r="E89" s="2">
        <v>15268</v>
      </c>
    </row>
    <row r="90" spans="1:5" x14ac:dyDescent="0.25">
      <c r="A90" s="20">
        <v>45669</v>
      </c>
      <c r="B90" s="2" t="s">
        <v>5</v>
      </c>
      <c r="C90" s="2">
        <v>150</v>
      </c>
      <c r="D90" s="2"/>
      <c r="E90" s="2">
        <v>15118</v>
      </c>
    </row>
    <row r="91" spans="1:5" x14ac:dyDescent="0.25">
      <c r="A91" s="20">
        <v>45669</v>
      </c>
      <c r="B91" s="2" t="s">
        <v>5</v>
      </c>
      <c r="C91" s="2">
        <v>3559</v>
      </c>
      <c r="D91" s="2"/>
      <c r="E91" s="2">
        <v>11559</v>
      </c>
    </row>
    <row r="92" spans="1:5" x14ac:dyDescent="0.25">
      <c r="A92" s="20">
        <v>45670</v>
      </c>
      <c r="B92" s="2" t="s">
        <v>5</v>
      </c>
      <c r="C92" s="2">
        <v>1000</v>
      </c>
      <c r="D92" s="2"/>
      <c r="E92" s="2">
        <v>10559</v>
      </c>
    </row>
    <row r="93" spans="1:5" x14ac:dyDescent="0.25">
      <c r="A93" s="20">
        <v>45670</v>
      </c>
      <c r="B93" s="2" t="s">
        <v>5</v>
      </c>
      <c r="C93" s="2">
        <v>441</v>
      </c>
      <c r="D93" s="2"/>
      <c r="E93" s="2">
        <v>10118</v>
      </c>
    </row>
    <row r="94" spans="1:5" x14ac:dyDescent="0.25">
      <c r="A94" s="20">
        <v>45670</v>
      </c>
      <c r="B94" s="2" t="s">
        <v>5</v>
      </c>
      <c r="C94" s="2">
        <v>5000</v>
      </c>
      <c r="D94" s="2"/>
      <c r="E94" s="2">
        <v>5118</v>
      </c>
    </row>
    <row r="95" spans="1:5" x14ac:dyDescent="0.25">
      <c r="A95" s="20">
        <v>45670</v>
      </c>
      <c r="B95" s="2" t="s">
        <v>5</v>
      </c>
      <c r="C95" s="2">
        <v>3320</v>
      </c>
      <c r="D95" s="2"/>
      <c r="E95" s="2">
        <v>1798</v>
      </c>
    </row>
    <row r="96" spans="1:5" x14ac:dyDescent="0.25">
      <c r="A96" s="20">
        <v>45670</v>
      </c>
      <c r="B96" s="2" t="s">
        <v>5</v>
      </c>
      <c r="C96" s="2"/>
      <c r="D96" s="2">
        <v>1000</v>
      </c>
      <c r="E96" s="2">
        <v>2798</v>
      </c>
    </row>
    <row r="97" spans="1:5" x14ac:dyDescent="0.25">
      <c r="A97" s="20">
        <v>45670</v>
      </c>
      <c r="B97" s="2" t="s">
        <v>5</v>
      </c>
      <c r="C97" s="2">
        <v>1000</v>
      </c>
      <c r="D97" s="2"/>
      <c r="E97" s="2">
        <v>1798</v>
      </c>
    </row>
    <row r="98" spans="1:5" x14ac:dyDescent="0.25">
      <c r="A98" s="20">
        <v>45671</v>
      </c>
      <c r="B98" s="2" t="s">
        <v>5</v>
      </c>
      <c r="C98" s="2"/>
      <c r="D98" s="2">
        <v>50000</v>
      </c>
      <c r="E98" s="2">
        <v>51798</v>
      </c>
    </row>
    <row r="99" spans="1:5" x14ac:dyDescent="0.25">
      <c r="A99" s="20">
        <v>45671</v>
      </c>
      <c r="B99" s="2" t="s">
        <v>5</v>
      </c>
      <c r="C99" s="2">
        <v>50000</v>
      </c>
      <c r="D99" s="2"/>
      <c r="E99" s="2">
        <v>1798</v>
      </c>
    </row>
    <row r="100" spans="1:5" x14ac:dyDescent="0.25">
      <c r="A100" s="20">
        <v>45671</v>
      </c>
      <c r="B100" s="2" t="s">
        <v>5</v>
      </c>
      <c r="C100" s="2"/>
      <c r="D100" s="2">
        <v>20</v>
      </c>
      <c r="E100" s="2">
        <v>1818</v>
      </c>
    </row>
    <row r="101" spans="1:5" x14ac:dyDescent="0.25">
      <c r="A101" s="20">
        <v>45671</v>
      </c>
      <c r="B101" s="2" t="s">
        <v>5</v>
      </c>
      <c r="C101" s="2">
        <v>16</v>
      </c>
      <c r="D101" s="2"/>
      <c r="E101" s="2">
        <v>1802</v>
      </c>
    </row>
    <row r="102" spans="1:5" x14ac:dyDescent="0.25">
      <c r="A102" s="20">
        <v>45672</v>
      </c>
      <c r="B102" s="2" t="s">
        <v>5</v>
      </c>
      <c r="C102" s="2">
        <v>500</v>
      </c>
      <c r="D102" s="2"/>
      <c r="E102" s="2">
        <v>1302</v>
      </c>
    </row>
    <row r="103" spans="1:5" x14ac:dyDescent="0.25">
      <c r="A103" s="20">
        <v>45673</v>
      </c>
      <c r="B103" s="2" t="s">
        <v>5</v>
      </c>
      <c r="C103" s="2"/>
      <c r="D103" s="2">
        <v>1100</v>
      </c>
      <c r="E103" s="2">
        <v>2402</v>
      </c>
    </row>
    <row r="104" spans="1:5" x14ac:dyDescent="0.25">
      <c r="A104" s="20">
        <v>45673</v>
      </c>
      <c r="B104" s="2" t="s">
        <v>5</v>
      </c>
      <c r="C104" s="2"/>
      <c r="D104" s="2">
        <v>600</v>
      </c>
      <c r="E104" s="2">
        <v>3002</v>
      </c>
    </row>
    <row r="105" spans="1:5" x14ac:dyDescent="0.25">
      <c r="A105" s="20">
        <v>45673</v>
      </c>
      <c r="B105" s="2" t="s">
        <v>5</v>
      </c>
      <c r="C105" s="2">
        <v>1220</v>
      </c>
      <c r="D105" s="2"/>
      <c r="E105" s="2">
        <v>1782</v>
      </c>
    </row>
    <row r="106" spans="1:5" x14ac:dyDescent="0.25">
      <c r="A106" s="20">
        <v>45674</v>
      </c>
      <c r="B106" s="2" t="s">
        <v>5</v>
      </c>
      <c r="C106" s="2"/>
      <c r="D106" s="2">
        <v>1220</v>
      </c>
      <c r="E106" s="2">
        <v>3002</v>
      </c>
    </row>
    <row r="107" spans="1:5" x14ac:dyDescent="0.25">
      <c r="A107" s="20">
        <v>45675</v>
      </c>
      <c r="B107" s="2" t="s">
        <v>5</v>
      </c>
      <c r="C107" s="2">
        <v>2000</v>
      </c>
      <c r="D107" s="2"/>
      <c r="E107" s="2">
        <v>1002</v>
      </c>
    </row>
    <row r="108" spans="1:5" x14ac:dyDescent="0.25">
      <c r="A108" s="20">
        <v>45675</v>
      </c>
      <c r="B108" s="2" t="s">
        <v>5</v>
      </c>
      <c r="C108" s="2"/>
      <c r="D108" s="2">
        <v>2000</v>
      </c>
      <c r="E108" s="2">
        <v>3002</v>
      </c>
    </row>
    <row r="109" spans="1:5" x14ac:dyDescent="0.25">
      <c r="A109" s="20">
        <v>45682</v>
      </c>
      <c r="B109" s="2" t="s">
        <v>5</v>
      </c>
      <c r="C109" s="2">
        <v>100</v>
      </c>
      <c r="D109" s="2"/>
      <c r="E109" s="2">
        <v>2902</v>
      </c>
    </row>
    <row r="110" spans="1:5" x14ac:dyDescent="0.25">
      <c r="A110" s="20">
        <v>45684</v>
      </c>
      <c r="B110" s="2" t="s">
        <v>5</v>
      </c>
      <c r="C110" s="2"/>
      <c r="D110" s="2">
        <v>806</v>
      </c>
      <c r="E110" s="2">
        <v>3708</v>
      </c>
    </row>
    <row r="111" spans="1:5" x14ac:dyDescent="0.25">
      <c r="A111" s="20">
        <v>45684</v>
      </c>
      <c r="B111" s="2" t="s">
        <v>5</v>
      </c>
      <c r="C111" s="2">
        <v>806</v>
      </c>
      <c r="D111" s="2"/>
      <c r="E111" s="2">
        <v>2902</v>
      </c>
    </row>
    <row r="112" spans="1:5" x14ac:dyDescent="0.25">
      <c r="A112" s="20">
        <v>45685</v>
      </c>
      <c r="B112" s="2" t="s">
        <v>5</v>
      </c>
      <c r="C112" s="2">
        <v>190</v>
      </c>
      <c r="D112" s="2"/>
      <c r="E112" s="2">
        <v>2712</v>
      </c>
    </row>
    <row r="113" spans="1:5" x14ac:dyDescent="0.25">
      <c r="A113" s="20">
        <v>45685</v>
      </c>
      <c r="B113" s="2" t="s">
        <v>5</v>
      </c>
      <c r="C113" s="2">
        <v>160</v>
      </c>
      <c r="D113" s="2"/>
      <c r="E113" s="2">
        <v>2552</v>
      </c>
    </row>
    <row r="114" spans="1:5" x14ac:dyDescent="0.25">
      <c r="A114" s="20">
        <v>45685</v>
      </c>
      <c r="B114" s="2" t="s">
        <v>5</v>
      </c>
      <c r="C114" s="2">
        <v>106</v>
      </c>
      <c r="D114" s="2"/>
      <c r="E114" s="2">
        <v>2446</v>
      </c>
    </row>
    <row r="115" spans="1:5" x14ac:dyDescent="0.25">
      <c r="A115" s="20">
        <v>45686</v>
      </c>
      <c r="B115" s="2" t="s">
        <v>5</v>
      </c>
      <c r="C115" s="2">
        <v>158</v>
      </c>
      <c r="D115" s="2"/>
      <c r="E115" s="2">
        <v>2288</v>
      </c>
    </row>
    <row r="116" spans="1:5" x14ac:dyDescent="0.25">
      <c r="A116" s="20">
        <v>45686</v>
      </c>
      <c r="B116" s="2" t="s">
        <v>5</v>
      </c>
      <c r="C116" s="2">
        <v>100</v>
      </c>
      <c r="D116" s="2"/>
      <c r="E116" s="2">
        <v>2188</v>
      </c>
    </row>
    <row r="117" spans="1:5" x14ac:dyDescent="0.25">
      <c r="A117" s="20">
        <v>45686</v>
      </c>
      <c r="B117" s="2" t="s">
        <v>5</v>
      </c>
      <c r="C117" s="2">
        <v>500</v>
      </c>
      <c r="D117" s="2"/>
      <c r="E117" s="2">
        <v>1688</v>
      </c>
    </row>
    <row r="118" spans="1:5" x14ac:dyDescent="0.25">
      <c r="A118" s="20">
        <v>45688</v>
      </c>
      <c r="B118" s="2" t="s">
        <v>5</v>
      </c>
      <c r="C118" s="2"/>
      <c r="D118" s="2"/>
      <c r="E118" s="2">
        <v>1688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C47C6-CB80-48E0-AA98-F56E9EEA919B}">
  <dimension ref="B2:K97"/>
  <sheetViews>
    <sheetView showGridLines="0" zoomScale="139" workbookViewId="0">
      <selection activeCell="G11" sqref="G11"/>
    </sheetView>
  </sheetViews>
  <sheetFormatPr defaultRowHeight="15" x14ac:dyDescent="0.25"/>
  <cols>
    <col min="1" max="1" width="3.42578125" customWidth="1"/>
    <col min="2" max="2" width="10.28515625" bestFit="1" customWidth="1"/>
    <col min="3" max="3" width="15.7109375" customWidth="1"/>
    <col min="4" max="4" width="15.140625" customWidth="1"/>
    <col min="6" max="6" width="5.42578125" customWidth="1"/>
    <col min="7" max="7" width="14.140625" customWidth="1"/>
    <col min="10" max="10" width="12.140625" customWidth="1"/>
    <col min="11" max="11" width="10.85546875" customWidth="1"/>
  </cols>
  <sheetData>
    <row r="2" spans="2:11" ht="30" x14ac:dyDescent="0.25">
      <c r="B2" s="16" t="s">
        <v>6</v>
      </c>
      <c r="C2" s="17" t="s">
        <v>7</v>
      </c>
      <c r="D2" s="17" t="s">
        <v>8</v>
      </c>
      <c r="E2" s="18" t="s">
        <v>9</v>
      </c>
      <c r="G2" s="7" t="s">
        <v>12</v>
      </c>
      <c r="H2" s="1"/>
      <c r="I2" s="1"/>
    </row>
    <row r="3" spans="2:11" x14ac:dyDescent="0.25">
      <c r="B3" s="11">
        <v>45597</v>
      </c>
      <c r="C3" s="2">
        <f>_xlfn.XLOOKUP(B3,Q3_[DATE],Q3_[BALANCE],NA(),0,-1)</f>
        <v>118</v>
      </c>
      <c r="D3" s="2">
        <f>_xlfn.IFNA(VLOOKUP(B3,Interest_Calculation[],2,FALSE),D2)</f>
        <v>118</v>
      </c>
      <c r="E3" s="12">
        <f t="shared" ref="E3:E34" si="0">D3*(2.75/365)/100</f>
        <v>8.8904109589041103E-3</v>
      </c>
      <c r="G3" s="3" cm="1">
        <f t="array" ref="G3">SUM(Interest_Calculation[Closing Balance]*2.75/36500)</f>
        <v>26.480179452054777</v>
      </c>
    </row>
    <row r="4" spans="2:11" x14ac:dyDescent="0.25">
      <c r="B4" s="11">
        <v>45598</v>
      </c>
      <c r="C4" s="2" t="e">
        <f>_xlfn.XLOOKUP(B4,Q3_[DATE],Q3_[BALANCE],NA(),0,-1)</f>
        <v>#N/A</v>
      </c>
      <c r="D4" s="2">
        <f>_xlfn.IFNA(VLOOKUP(B4,Interest_Calculation[],2,FALSE),D3)</f>
        <v>118</v>
      </c>
      <c r="E4" s="12">
        <f t="shared" si="0"/>
        <v>8.8904109589041103E-3</v>
      </c>
    </row>
    <row r="5" spans="2:11" x14ac:dyDescent="0.25">
      <c r="B5" s="11">
        <v>45599</v>
      </c>
      <c r="C5" s="2">
        <f>_xlfn.XLOOKUP(B5,Q3_[DATE],Q3_[BALANCE],NA(),0,-1)</f>
        <v>174</v>
      </c>
      <c r="D5" s="2">
        <f>_xlfn.IFNA(VLOOKUP(B5,Interest_Calculation[],2,FALSE),D4)</f>
        <v>174</v>
      </c>
      <c r="E5" s="12">
        <f t="shared" si="0"/>
        <v>1.310958904109589E-2</v>
      </c>
    </row>
    <row r="6" spans="2:11" x14ac:dyDescent="0.25">
      <c r="B6" s="11">
        <v>45600</v>
      </c>
      <c r="C6" s="2">
        <f>_xlfn.XLOOKUP(B6,Q3_[DATE],Q3_[BALANCE],NA(),0,-1)</f>
        <v>164</v>
      </c>
      <c r="D6" s="2">
        <f>_xlfn.IFNA(VLOOKUP(B6,Interest_Calculation[],2,FALSE),D5)</f>
        <v>164</v>
      </c>
      <c r="E6" s="12">
        <f t="shared" si="0"/>
        <v>1.2356164383561645E-2</v>
      </c>
      <c r="G6" s="10" t="s">
        <v>13</v>
      </c>
    </row>
    <row r="7" spans="2:11" x14ac:dyDescent="0.25">
      <c r="B7" s="11">
        <v>45601</v>
      </c>
      <c r="C7" s="2">
        <f>_xlfn.XLOOKUP(B7,Q3_[DATE],Q3_[BALANCE],NA(),0,-1)</f>
        <v>424</v>
      </c>
      <c r="D7" s="2">
        <f>_xlfn.IFNA(VLOOKUP(B7,Interest_Calculation[],2,FALSE),D6)</f>
        <v>424</v>
      </c>
      <c r="E7" s="12">
        <f t="shared" si="0"/>
        <v>3.1945205479452052E-2</v>
      </c>
      <c r="G7" s="9" t="str">
        <f>HYPERLINK("https://www.allonmoney.com/savings-account/calculate-interest-on-savings-account-how-banks-do-it-new-old-method/","Website")</f>
        <v>Website</v>
      </c>
    </row>
    <row r="8" spans="2:11" x14ac:dyDescent="0.25">
      <c r="B8" s="11">
        <v>45602</v>
      </c>
      <c r="C8" s="2">
        <f>_xlfn.XLOOKUP(B8,Q3_[DATE],Q3_[BALANCE],NA(),0,-1)</f>
        <v>200294</v>
      </c>
      <c r="D8" s="2">
        <f>_xlfn.IFNA(VLOOKUP(B8,Interest_Calculation[],2,FALSE),D7)</f>
        <v>200294</v>
      </c>
      <c r="E8" s="12">
        <f t="shared" si="0"/>
        <v>15.090643835616438</v>
      </c>
      <c r="G8" s="9" t="str">
        <f>HYPERLINK("https://www.bankofbaroda.in/banking-mantra/savings/articles/calculate-savings-account-interest#title-id4", "Bank of Baroda")</f>
        <v>Bank of Baroda</v>
      </c>
    </row>
    <row r="9" spans="2:11" x14ac:dyDescent="0.25">
      <c r="B9" s="11">
        <v>45603</v>
      </c>
      <c r="C9" s="2">
        <f>_xlfn.XLOOKUP(B9,Q3_[DATE],Q3_[BALANCE],NA(),0,-1)</f>
        <v>294</v>
      </c>
      <c r="D9" s="2">
        <f>_xlfn.IFNA(VLOOKUP(B9,Interest_Calculation[],2,FALSE),D8)</f>
        <v>294</v>
      </c>
      <c r="E9" s="12">
        <f t="shared" si="0"/>
        <v>2.2150684931506851E-2</v>
      </c>
    </row>
    <row r="10" spans="2:11" x14ac:dyDescent="0.25">
      <c r="B10" s="11">
        <v>45604</v>
      </c>
      <c r="C10" s="2" t="e">
        <f>_xlfn.XLOOKUP(B10,Q3_[DATE],Q3_[BALANCE],NA(),0,-1)</f>
        <v>#N/A</v>
      </c>
      <c r="D10" s="2">
        <f>_xlfn.IFNA(VLOOKUP(B10,Interest_Calculation[],2,FALSE),D9)</f>
        <v>294</v>
      </c>
      <c r="E10" s="12">
        <f t="shared" si="0"/>
        <v>2.2150684931506851E-2</v>
      </c>
    </row>
    <row r="11" spans="2:11" x14ac:dyDescent="0.25">
      <c r="B11" s="11">
        <v>45605</v>
      </c>
      <c r="C11" s="2" t="e">
        <f>_xlfn.XLOOKUP(B11,Q3_[DATE],Q3_[BALANCE],NA(),0,-1)</f>
        <v>#N/A</v>
      </c>
      <c r="D11" s="2">
        <f>_xlfn.IFNA(VLOOKUP(B11,Interest_Calculation[],2,FALSE),D10)</f>
        <v>294</v>
      </c>
      <c r="E11" s="12">
        <f t="shared" si="0"/>
        <v>2.2150684931506851E-2</v>
      </c>
    </row>
    <row r="12" spans="2:11" x14ac:dyDescent="0.25">
      <c r="B12" s="11">
        <v>45606</v>
      </c>
      <c r="C12" s="2">
        <f>_xlfn.XLOOKUP(B12,Q3_[DATE],Q3_[BALANCE],NA(),0,-1)</f>
        <v>274</v>
      </c>
      <c r="D12" s="2">
        <f>_xlfn.IFNA(VLOOKUP(B12,Interest_Calculation[],2,FALSE),D11)</f>
        <v>274</v>
      </c>
      <c r="E12" s="12">
        <f t="shared" si="0"/>
        <v>2.0643835616438358E-2</v>
      </c>
    </row>
    <row r="13" spans="2:11" x14ac:dyDescent="0.25">
      <c r="B13" s="11">
        <v>45607</v>
      </c>
      <c r="C13" s="2">
        <f>_xlfn.XLOOKUP(B13,Q3_[DATE],Q3_[BALANCE],NA(),0,-1)</f>
        <v>239</v>
      </c>
      <c r="D13" s="2">
        <f>_xlfn.IFNA(VLOOKUP(B13,Interest_Calculation[],2,FALSE),D12)</f>
        <v>239</v>
      </c>
      <c r="E13" s="12">
        <f t="shared" si="0"/>
        <v>1.8006849315068494E-2</v>
      </c>
    </row>
    <row r="14" spans="2:11" x14ac:dyDescent="0.25">
      <c r="B14" s="11">
        <v>45608</v>
      </c>
      <c r="C14" s="2" t="e">
        <f>_xlfn.XLOOKUP(B14,Q3_[DATE],Q3_[BALANCE],NA(),0,-1)</f>
        <v>#N/A</v>
      </c>
      <c r="D14" s="2">
        <f>_xlfn.IFNA(VLOOKUP(B14,Interest_Calculation[],2,FALSE),D13)</f>
        <v>239</v>
      </c>
      <c r="E14" s="12">
        <f t="shared" si="0"/>
        <v>1.8006849315068494E-2</v>
      </c>
      <c r="G14" s="26" t="s">
        <v>10</v>
      </c>
      <c r="H14" s="4">
        <v>45597</v>
      </c>
      <c r="I14" s="2">
        <f>AVERAGEIFS(Interest_Calculation[Closing Balance],Interest_Calculation[Dates], "&gt;=2024-11-01", Interest_Calculation[Dates], "&lt;=2024-11-30")</f>
        <v>7525.4033333333336</v>
      </c>
      <c r="J14" s="27" t="s">
        <v>11</v>
      </c>
      <c r="K14" s="28">
        <f>SUM(I14:I16)</f>
        <v>11580.309784946237</v>
      </c>
    </row>
    <row r="15" spans="2:11" x14ac:dyDescent="0.25">
      <c r="B15" s="11">
        <v>45609</v>
      </c>
      <c r="C15" s="2">
        <f>_xlfn.XLOOKUP(B15,Q3_[DATE],Q3_[BALANCE],NA(),0,-1)</f>
        <v>214</v>
      </c>
      <c r="D15" s="2">
        <f>_xlfn.IFNA(VLOOKUP(B15,Interest_Calculation[],2,FALSE),D14)</f>
        <v>214</v>
      </c>
      <c r="E15" s="12">
        <f t="shared" si="0"/>
        <v>1.6123287671232878E-2</v>
      </c>
      <c r="G15" s="26"/>
      <c r="H15" s="5">
        <v>45627</v>
      </c>
      <c r="I15" s="2">
        <f>AVERAGEIFS(Interest_Calculation[Closing Balance],Interest_Calculation[Dates], "&gt;=2024-12-01", Interest_Calculation[Dates], "&lt;=2024-12-31")</f>
        <v>2120.293548387097</v>
      </c>
      <c r="J15" s="27"/>
      <c r="K15" s="28"/>
    </row>
    <row r="16" spans="2:11" x14ac:dyDescent="0.25">
      <c r="B16" s="11">
        <v>45610</v>
      </c>
      <c r="C16" s="2">
        <f>_xlfn.XLOOKUP(B16,Q3_[DATE],Q3_[BALANCE],NA(),0,-1)</f>
        <v>714</v>
      </c>
      <c r="D16" s="2">
        <f>_xlfn.IFNA(VLOOKUP(B16,Interest_Calculation[],2,FALSE),D15)</f>
        <v>714</v>
      </c>
      <c r="E16" s="12">
        <f t="shared" si="0"/>
        <v>5.3794520547945208E-2</v>
      </c>
      <c r="G16" s="26"/>
      <c r="H16" s="6">
        <v>45658</v>
      </c>
      <c r="I16" s="2">
        <f>AVERAGEIFS(Interest_Calculation[Closing Balance],Interest_Calculation[Dates], "&gt;=2025-01-01", Interest_Calculation[Dates], "&lt;=2025-01-31")</f>
        <v>1934.6129032258063</v>
      </c>
      <c r="J16" s="27"/>
      <c r="K16" s="28"/>
    </row>
    <row r="17" spans="2:5" x14ac:dyDescent="0.25">
      <c r="B17" s="11">
        <v>45611</v>
      </c>
      <c r="C17" s="2">
        <f>_xlfn.XLOOKUP(B17,Q3_[DATE],Q3_[BALANCE],NA(),0,-1)</f>
        <v>699</v>
      </c>
      <c r="D17" s="2">
        <f>_xlfn.IFNA(VLOOKUP(B17,Interest_Calculation[],2,FALSE),D16)</f>
        <v>699</v>
      </c>
      <c r="E17" s="12">
        <f t="shared" si="0"/>
        <v>5.2664383561643845E-2</v>
      </c>
    </row>
    <row r="18" spans="2:5" x14ac:dyDescent="0.25">
      <c r="B18" s="11">
        <v>45612</v>
      </c>
      <c r="C18" s="2">
        <f>_xlfn.XLOOKUP(B18,Q3_[DATE],Q3_[BALANCE],NA(),0,-1)</f>
        <v>664</v>
      </c>
      <c r="D18" s="2">
        <f>_xlfn.IFNA(VLOOKUP(B18,Interest_Calculation[],2,FALSE),D17)</f>
        <v>664</v>
      </c>
      <c r="E18" s="12">
        <f t="shared" si="0"/>
        <v>5.002739726027397E-2</v>
      </c>
    </row>
    <row r="19" spans="2:5" x14ac:dyDescent="0.25">
      <c r="B19" s="11">
        <v>45613</v>
      </c>
      <c r="C19" s="2">
        <f>_xlfn.XLOOKUP(B19,Q3_[DATE],Q3_[BALANCE],NA(),0,-1)</f>
        <v>584</v>
      </c>
      <c r="D19" s="2">
        <f>_xlfn.IFNA(VLOOKUP(B19,Interest_Calculation[],2,FALSE),D18)</f>
        <v>584</v>
      </c>
      <c r="E19" s="12">
        <f t="shared" si="0"/>
        <v>4.4000000000000004E-2</v>
      </c>
    </row>
    <row r="20" spans="2:5" x14ac:dyDescent="0.25">
      <c r="B20" s="11">
        <v>45614</v>
      </c>
      <c r="C20" s="2">
        <f>_xlfn.XLOOKUP(B20,Q3_[DATE],Q3_[BALANCE],NA(),0,-1)</f>
        <v>574</v>
      </c>
      <c r="D20" s="2">
        <f>_xlfn.IFNA(VLOOKUP(B20,Interest_Calculation[],2,FALSE),D19)</f>
        <v>574</v>
      </c>
      <c r="E20" s="12">
        <f t="shared" si="0"/>
        <v>4.3246575342465753E-2</v>
      </c>
    </row>
    <row r="21" spans="2:5" x14ac:dyDescent="0.25">
      <c r="B21" s="11">
        <v>45615</v>
      </c>
      <c r="C21" s="2">
        <f>_xlfn.XLOOKUP(B21,Q3_[DATE],Q3_[BALANCE],NA(),0,-1)</f>
        <v>554</v>
      </c>
      <c r="D21" s="2">
        <f>_xlfn.IFNA(VLOOKUP(B21,Interest_Calculation[],2,FALSE),D20)</f>
        <v>554</v>
      </c>
      <c r="E21" s="12">
        <f t="shared" si="0"/>
        <v>4.1739726027397263E-2</v>
      </c>
    </row>
    <row r="22" spans="2:5" x14ac:dyDescent="0.25">
      <c r="B22" s="11">
        <v>45616</v>
      </c>
      <c r="C22" s="2">
        <f>_xlfn.XLOOKUP(B22,Q3_[DATE],Q3_[BALANCE],NA(),0,-1)</f>
        <v>524</v>
      </c>
      <c r="D22" s="2">
        <f>_xlfn.IFNA(VLOOKUP(B22,Interest_Calculation[],2,FALSE),D21)</f>
        <v>524</v>
      </c>
      <c r="E22" s="12">
        <f t="shared" si="0"/>
        <v>3.9479452054794521E-2</v>
      </c>
    </row>
    <row r="23" spans="2:5" x14ac:dyDescent="0.25">
      <c r="B23" s="11">
        <v>45617</v>
      </c>
      <c r="C23" s="2">
        <f>_xlfn.XLOOKUP(B23,Q3_[DATE],Q3_[BALANCE],NA(),0,-1)</f>
        <v>2504</v>
      </c>
      <c r="D23" s="2">
        <f>_xlfn.IFNA(VLOOKUP(B23,Interest_Calculation[],2,FALSE),D22)</f>
        <v>2504</v>
      </c>
      <c r="E23" s="12">
        <f t="shared" si="0"/>
        <v>0.18865753424657533</v>
      </c>
    </row>
    <row r="24" spans="2:5" x14ac:dyDescent="0.25">
      <c r="B24" s="11">
        <v>45618</v>
      </c>
      <c r="C24" s="2" t="e">
        <f>_xlfn.XLOOKUP(B24,Q3_[DATE],Q3_[BALANCE],NA(),0,-1)</f>
        <v>#N/A</v>
      </c>
      <c r="D24" s="2">
        <f>_xlfn.IFNA(VLOOKUP(B24,Interest_Calculation[],2,FALSE),D23)</f>
        <v>2504</v>
      </c>
      <c r="E24" s="12">
        <f t="shared" si="0"/>
        <v>0.18865753424657533</v>
      </c>
    </row>
    <row r="25" spans="2:5" x14ac:dyDescent="0.25">
      <c r="B25" s="11">
        <v>45619</v>
      </c>
      <c r="C25" s="2">
        <f>_xlfn.XLOOKUP(B25,Q3_[DATE],Q3_[BALANCE],NA(),0,-1)</f>
        <v>1824</v>
      </c>
      <c r="D25" s="2">
        <f>_xlfn.IFNA(VLOOKUP(B25,Interest_Calculation[],2,FALSE),D24)</f>
        <v>1824</v>
      </c>
      <c r="E25" s="12">
        <f t="shared" si="0"/>
        <v>0.1374246575342466</v>
      </c>
    </row>
    <row r="26" spans="2:5" x14ac:dyDescent="0.25">
      <c r="B26" s="11">
        <v>45620</v>
      </c>
      <c r="C26" s="2">
        <f>_xlfn.XLOOKUP(B26,Q3_[DATE],Q3_[BALANCE],NA(),0,-1)</f>
        <v>1804</v>
      </c>
      <c r="D26" s="2">
        <f>_xlfn.IFNA(VLOOKUP(B26,Interest_Calculation[],2,FALSE),D25)</f>
        <v>1804</v>
      </c>
      <c r="E26" s="12">
        <f t="shared" si="0"/>
        <v>0.13591780821917809</v>
      </c>
    </row>
    <row r="27" spans="2:5" x14ac:dyDescent="0.25">
      <c r="B27" s="11">
        <v>45621</v>
      </c>
      <c r="C27" s="2">
        <f>_xlfn.XLOOKUP(B27,Q3_[DATE],Q3_[BALANCE],NA(),0,-1)</f>
        <v>1302</v>
      </c>
      <c r="D27" s="2">
        <f>_xlfn.IFNA(VLOOKUP(B27,Interest_Calculation[],2,FALSE),D26)</f>
        <v>1302</v>
      </c>
      <c r="E27" s="12">
        <f t="shared" si="0"/>
        <v>9.8095890410958897E-2</v>
      </c>
    </row>
    <row r="28" spans="2:5" x14ac:dyDescent="0.25">
      <c r="B28" s="11">
        <v>45622</v>
      </c>
      <c r="C28" s="2">
        <f>_xlfn.XLOOKUP(B28,Q3_[DATE],Q3_[BALANCE],NA(),0,-1)</f>
        <v>1212</v>
      </c>
      <c r="D28" s="2">
        <f>_xlfn.IFNA(VLOOKUP(B28,Interest_Calculation[],2,FALSE),D27)</f>
        <v>1212</v>
      </c>
      <c r="E28" s="12">
        <f t="shared" si="0"/>
        <v>9.1315068493150686E-2</v>
      </c>
    </row>
    <row r="29" spans="2:5" x14ac:dyDescent="0.25">
      <c r="B29" s="11">
        <v>45623</v>
      </c>
      <c r="C29" s="2">
        <f>_xlfn.XLOOKUP(B29,Q3_[DATE],Q3_[BALANCE],NA(),0,-1)</f>
        <v>1002</v>
      </c>
      <c r="D29" s="2">
        <f>_xlfn.IFNA(VLOOKUP(B29,Interest_Calculation[],2,FALSE),D28)</f>
        <v>1002</v>
      </c>
      <c r="E29" s="12">
        <f t="shared" si="0"/>
        <v>7.5493150684931509E-2</v>
      </c>
    </row>
    <row r="30" spans="2:5" x14ac:dyDescent="0.25">
      <c r="B30" s="11">
        <v>45624</v>
      </c>
      <c r="C30" s="2">
        <f>_xlfn.XLOOKUP(B30,Q3_[DATE],Q3_[BALANCE],NA(),0,-1)</f>
        <v>987</v>
      </c>
      <c r="D30" s="2">
        <f>_xlfn.IFNA(VLOOKUP(B30,Interest_Calculation[],2,FALSE),D29)</f>
        <v>987</v>
      </c>
      <c r="E30" s="12">
        <f t="shared" si="0"/>
        <v>7.4363013698630145E-2</v>
      </c>
    </row>
    <row r="31" spans="2:5" x14ac:dyDescent="0.25">
      <c r="B31" s="11">
        <v>45625</v>
      </c>
      <c r="C31" s="2">
        <f>_xlfn.XLOOKUP(B31,Q3_[DATE],Q3_[BALANCE],NA(),0,-1)</f>
        <v>488</v>
      </c>
      <c r="D31" s="2">
        <f>_xlfn.IFNA(VLOOKUP(B31,Interest_Calculation[],2,FALSE),D30)</f>
        <v>488</v>
      </c>
      <c r="E31" s="12">
        <f t="shared" si="0"/>
        <v>3.6767123287671233E-2</v>
      </c>
    </row>
    <row r="32" spans="2:5" x14ac:dyDescent="0.25">
      <c r="B32" s="11">
        <v>45626</v>
      </c>
      <c r="C32" s="2">
        <f>_xlfn.XLOOKUP(B32,Q3_[DATE],Q3_[BALANCE],NA(),0,-1)</f>
        <v>4682.1000000000004</v>
      </c>
      <c r="D32" s="2">
        <f>_xlfn.IFNA(VLOOKUP(B32,Interest_Calculation[],2,FALSE),D31)</f>
        <v>4682.1000000000004</v>
      </c>
      <c r="E32" s="12">
        <f t="shared" si="0"/>
        <v>0.35276095890410963</v>
      </c>
    </row>
    <row r="33" spans="2:5" x14ac:dyDescent="0.25">
      <c r="B33" s="11">
        <v>45627</v>
      </c>
      <c r="C33" s="2">
        <f>_xlfn.XLOOKUP(B33,Q3_[DATE],Q3_[BALANCE],NA(),0,-1)</f>
        <v>4682.1000000000004</v>
      </c>
      <c r="D33" s="2">
        <f>_xlfn.IFNA(VLOOKUP(B33,Interest_Calculation[],2,FALSE),D32)</f>
        <v>4682.1000000000004</v>
      </c>
      <c r="E33" s="12">
        <f t="shared" si="0"/>
        <v>0.35276095890410963</v>
      </c>
    </row>
    <row r="34" spans="2:5" x14ac:dyDescent="0.25">
      <c r="B34" s="11">
        <v>45628</v>
      </c>
      <c r="C34" s="2">
        <f>_xlfn.XLOOKUP(B34,Q3_[DATE],Q3_[BALANCE],NA(),0,-1)</f>
        <v>4182</v>
      </c>
      <c r="D34" s="2">
        <f>_xlfn.IFNA(VLOOKUP(B34,Interest_Calculation[],2,FALSE),D33)</f>
        <v>4182</v>
      </c>
      <c r="E34" s="12">
        <f t="shared" si="0"/>
        <v>0.31508219178082192</v>
      </c>
    </row>
    <row r="35" spans="2:5" x14ac:dyDescent="0.25">
      <c r="B35" s="11">
        <v>45629</v>
      </c>
      <c r="C35" s="2" t="e">
        <f>_xlfn.XLOOKUP(B35,Q3_[DATE],Q3_[BALANCE],NA(),0,-1)</f>
        <v>#N/A</v>
      </c>
      <c r="D35" s="2">
        <f>_xlfn.IFNA(VLOOKUP(B35,Interest_Calculation[],2,FALSE),D34)</f>
        <v>4182</v>
      </c>
      <c r="E35" s="12">
        <f t="shared" ref="E35:E66" si="1">D35*(2.75/365)/100</f>
        <v>0.31508219178082192</v>
      </c>
    </row>
    <row r="36" spans="2:5" x14ac:dyDescent="0.25">
      <c r="B36" s="11">
        <v>45630</v>
      </c>
      <c r="C36" s="2" t="e">
        <f>_xlfn.XLOOKUP(B36,Q3_[DATE],Q3_[BALANCE],NA(),0,-1)</f>
        <v>#N/A</v>
      </c>
      <c r="D36" s="2">
        <f>_xlfn.IFNA(VLOOKUP(B36,Interest_Calculation[],2,FALSE),D35)</f>
        <v>4182</v>
      </c>
      <c r="E36" s="12">
        <f t="shared" si="1"/>
        <v>0.31508219178082192</v>
      </c>
    </row>
    <row r="37" spans="2:5" x14ac:dyDescent="0.25">
      <c r="B37" s="11">
        <v>45631</v>
      </c>
      <c r="C37" s="2">
        <f>_xlfn.XLOOKUP(B37,Q3_[DATE],Q3_[BALANCE],NA(),0,-1)</f>
        <v>4283</v>
      </c>
      <c r="D37" s="2">
        <f>_xlfn.IFNA(VLOOKUP(B37,Interest_Calculation[],2,FALSE),D36)</f>
        <v>4283</v>
      </c>
      <c r="E37" s="12">
        <f t="shared" si="1"/>
        <v>0.3226917808219178</v>
      </c>
    </row>
    <row r="38" spans="2:5" x14ac:dyDescent="0.25">
      <c r="B38" s="11">
        <v>45632</v>
      </c>
      <c r="C38" s="2">
        <f>_xlfn.XLOOKUP(B38,Q3_[DATE],Q3_[BALANCE],NA(),0,-1)</f>
        <v>4303</v>
      </c>
      <c r="D38" s="2">
        <f>_xlfn.IFNA(VLOOKUP(B38,Interest_Calculation[],2,FALSE),D37)</f>
        <v>4303</v>
      </c>
      <c r="E38" s="12">
        <f t="shared" si="1"/>
        <v>0.3241986301369863</v>
      </c>
    </row>
    <row r="39" spans="2:5" x14ac:dyDescent="0.25">
      <c r="B39" s="11">
        <v>45633</v>
      </c>
      <c r="C39" s="2" t="e">
        <f>_xlfn.XLOOKUP(B39,Q3_[DATE],Q3_[BALANCE],NA(),0,-1)</f>
        <v>#N/A</v>
      </c>
      <c r="D39" s="2">
        <f>_xlfn.IFNA(VLOOKUP(B39,Interest_Calculation[],2,FALSE),D38)</f>
        <v>4303</v>
      </c>
      <c r="E39" s="12">
        <f t="shared" si="1"/>
        <v>0.3241986301369863</v>
      </c>
    </row>
    <row r="40" spans="2:5" x14ac:dyDescent="0.25">
      <c r="B40" s="11">
        <v>45634</v>
      </c>
      <c r="C40" s="2">
        <f>_xlfn.XLOOKUP(B40,Q3_[DATE],Q3_[BALANCE],NA(),0,-1)</f>
        <v>303</v>
      </c>
      <c r="D40" s="2">
        <f>_xlfn.IFNA(VLOOKUP(B40,Interest_Calculation[],2,FALSE),D39)</f>
        <v>303</v>
      </c>
      <c r="E40" s="12">
        <f t="shared" si="1"/>
        <v>2.2828767123287672E-2</v>
      </c>
    </row>
    <row r="41" spans="2:5" x14ac:dyDescent="0.25">
      <c r="B41" s="11">
        <v>45635</v>
      </c>
      <c r="C41" s="2">
        <f>_xlfn.XLOOKUP(B41,Q3_[DATE],Q3_[BALANCE],NA(),0,-1)</f>
        <v>2303</v>
      </c>
      <c r="D41" s="2">
        <f>_xlfn.IFNA(VLOOKUP(B41,Interest_Calculation[],2,FALSE),D40)</f>
        <v>2303</v>
      </c>
      <c r="E41" s="12">
        <f t="shared" si="1"/>
        <v>0.17351369863013699</v>
      </c>
    </row>
    <row r="42" spans="2:5" x14ac:dyDescent="0.25">
      <c r="B42" s="11">
        <v>45636</v>
      </c>
      <c r="C42" s="2">
        <f>_xlfn.XLOOKUP(B42,Q3_[DATE],Q3_[BALANCE],NA(),0,-1)</f>
        <v>2118</v>
      </c>
      <c r="D42" s="2">
        <f>_xlfn.IFNA(VLOOKUP(B42,Interest_Calculation[],2,FALSE),D41)</f>
        <v>2118</v>
      </c>
      <c r="E42" s="12">
        <f t="shared" si="1"/>
        <v>0.15957534246575342</v>
      </c>
    </row>
    <row r="43" spans="2:5" x14ac:dyDescent="0.25">
      <c r="B43" s="11">
        <v>45637</v>
      </c>
      <c r="C43" s="2">
        <f>_xlfn.XLOOKUP(B43,Q3_[DATE],Q3_[BALANCE],NA(),0,-1)</f>
        <v>1618</v>
      </c>
      <c r="D43" s="2">
        <f>_xlfn.IFNA(VLOOKUP(B43,Interest_Calculation[],2,FALSE),D42)</f>
        <v>1618</v>
      </c>
      <c r="E43" s="12">
        <f t="shared" si="1"/>
        <v>0.1219041095890411</v>
      </c>
    </row>
    <row r="44" spans="2:5" x14ac:dyDescent="0.25">
      <c r="B44" s="11">
        <v>45638</v>
      </c>
      <c r="C44" s="2">
        <f>_xlfn.XLOOKUP(B44,Q3_[DATE],Q3_[BALANCE],NA(),0,-1)</f>
        <v>1818</v>
      </c>
      <c r="D44" s="2">
        <f>_xlfn.IFNA(VLOOKUP(B44,Interest_Calculation[],2,FALSE),D43)</f>
        <v>1818</v>
      </c>
      <c r="E44" s="12">
        <f t="shared" si="1"/>
        <v>0.13697260273972603</v>
      </c>
    </row>
    <row r="45" spans="2:5" x14ac:dyDescent="0.25">
      <c r="B45" s="11">
        <v>45639</v>
      </c>
      <c r="C45" s="2">
        <f>_xlfn.XLOOKUP(B45,Q3_[DATE],Q3_[BALANCE],NA(),0,-1)</f>
        <v>1878</v>
      </c>
      <c r="D45" s="2">
        <f>_xlfn.IFNA(VLOOKUP(B45,Interest_Calculation[],2,FALSE),D44)</f>
        <v>1878</v>
      </c>
      <c r="E45" s="12">
        <f t="shared" si="1"/>
        <v>0.14149315068493151</v>
      </c>
    </row>
    <row r="46" spans="2:5" x14ac:dyDescent="0.25">
      <c r="B46" s="11">
        <v>45640</v>
      </c>
      <c r="C46" s="2" t="e">
        <f>_xlfn.XLOOKUP(B46,Q3_[DATE],Q3_[BALANCE],NA(),0,-1)</f>
        <v>#N/A</v>
      </c>
      <c r="D46" s="2">
        <f>_xlfn.IFNA(VLOOKUP(B46,Interest_Calculation[],2,FALSE),D45)</f>
        <v>1878</v>
      </c>
      <c r="E46" s="12">
        <f t="shared" si="1"/>
        <v>0.14149315068493151</v>
      </c>
    </row>
    <row r="47" spans="2:5" x14ac:dyDescent="0.25">
      <c r="B47" s="11">
        <v>45641</v>
      </c>
      <c r="C47" s="2" t="e">
        <f>_xlfn.XLOOKUP(B47,Q3_[DATE],Q3_[BALANCE],NA(),0,-1)</f>
        <v>#N/A</v>
      </c>
      <c r="D47" s="2">
        <f>_xlfn.IFNA(VLOOKUP(B47,Interest_Calculation[],2,FALSE),D46)</f>
        <v>1878</v>
      </c>
      <c r="E47" s="12">
        <f t="shared" si="1"/>
        <v>0.14149315068493151</v>
      </c>
    </row>
    <row r="48" spans="2:5" x14ac:dyDescent="0.25">
      <c r="B48" s="11">
        <v>45642</v>
      </c>
      <c r="C48" s="2" t="e">
        <f>_xlfn.XLOOKUP(B48,Q3_[DATE],Q3_[BALANCE],NA(),0,-1)</f>
        <v>#N/A</v>
      </c>
      <c r="D48" s="2">
        <f>_xlfn.IFNA(VLOOKUP(B48,Interest_Calculation[],2,FALSE),D47)</f>
        <v>1878</v>
      </c>
      <c r="E48" s="12">
        <f t="shared" si="1"/>
        <v>0.14149315068493151</v>
      </c>
    </row>
    <row r="49" spans="2:5" x14ac:dyDescent="0.25">
      <c r="B49" s="11">
        <v>45643</v>
      </c>
      <c r="C49" s="2" t="e">
        <f>_xlfn.XLOOKUP(B49,Q3_[DATE],Q3_[BALANCE],NA(),0,-1)</f>
        <v>#N/A</v>
      </c>
      <c r="D49" s="2">
        <f>_xlfn.IFNA(VLOOKUP(B49,Interest_Calculation[],2,FALSE),D48)</f>
        <v>1878</v>
      </c>
      <c r="E49" s="12">
        <f t="shared" si="1"/>
        <v>0.14149315068493151</v>
      </c>
    </row>
    <row r="50" spans="2:5" x14ac:dyDescent="0.25">
      <c r="B50" s="11">
        <v>45644</v>
      </c>
      <c r="C50" s="2" t="e">
        <f>_xlfn.XLOOKUP(B50,Q3_[DATE],Q3_[BALANCE],NA(),0,-1)</f>
        <v>#N/A</v>
      </c>
      <c r="D50" s="2">
        <f>_xlfn.IFNA(VLOOKUP(B50,Interest_Calculation[],2,FALSE),D49)</f>
        <v>1878</v>
      </c>
      <c r="E50" s="12">
        <f t="shared" si="1"/>
        <v>0.14149315068493151</v>
      </c>
    </row>
    <row r="51" spans="2:5" x14ac:dyDescent="0.25">
      <c r="B51" s="11">
        <v>45645</v>
      </c>
      <c r="C51" s="2" t="e">
        <f>_xlfn.XLOOKUP(B51,Q3_[DATE],Q3_[BALANCE],NA(),0,-1)</f>
        <v>#N/A</v>
      </c>
      <c r="D51" s="2">
        <f>_xlfn.IFNA(VLOOKUP(B51,Interest_Calculation[],2,FALSE),D50)</f>
        <v>1878</v>
      </c>
      <c r="E51" s="12">
        <f t="shared" si="1"/>
        <v>0.14149315068493151</v>
      </c>
    </row>
    <row r="52" spans="2:5" x14ac:dyDescent="0.25">
      <c r="B52" s="11">
        <v>45646</v>
      </c>
      <c r="C52" s="2">
        <f>_xlfn.XLOOKUP(B52,Q3_[DATE],Q3_[BALANCE],NA(),0,-1)</f>
        <v>1818</v>
      </c>
      <c r="D52" s="2">
        <f>_xlfn.IFNA(VLOOKUP(B52,Interest_Calculation[],2,FALSE),D51)</f>
        <v>1818</v>
      </c>
      <c r="E52" s="12">
        <f t="shared" si="1"/>
        <v>0.13697260273972603</v>
      </c>
    </row>
    <row r="53" spans="2:5" x14ac:dyDescent="0.25">
      <c r="B53" s="11">
        <v>45647</v>
      </c>
      <c r="C53" s="2" t="e">
        <f>_xlfn.XLOOKUP(B53,Q3_[DATE],Q3_[BALANCE],NA(),0,-1)</f>
        <v>#N/A</v>
      </c>
      <c r="D53" s="2">
        <f>_xlfn.IFNA(VLOOKUP(B53,Interest_Calculation[],2,FALSE),D52)</f>
        <v>1818</v>
      </c>
      <c r="E53" s="12">
        <f t="shared" si="1"/>
        <v>0.13697260273972603</v>
      </c>
    </row>
    <row r="54" spans="2:5" x14ac:dyDescent="0.25">
      <c r="B54" s="11">
        <v>45648</v>
      </c>
      <c r="C54" s="2">
        <f>_xlfn.XLOOKUP(B54,Q3_[DATE],Q3_[BALANCE],NA(),0,-1)</f>
        <v>1718</v>
      </c>
      <c r="D54" s="2">
        <f>_xlfn.IFNA(VLOOKUP(B54,Interest_Calculation[],2,FALSE),D53)</f>
        <v>1718</v>
      </c>
      <c r="E54" s="12">
        <f t="shared" si="1"/>
        <v>0.12943835616438357</v>
      </c>
    </row>
    <row r="55" spans="2:5" x14ac:dyDescent="0.25">
      <c r="B55" s="11">
        <v>45649</v>
      </c>
      <c r="C55" s="2" t="e">
        <f>_xlfn.XLOOKUP(B55,Q3_[DATE],Q3_[BALANCE],NA(),0,-1)</f>
        <v>#N/A</v>
      </c>
      <c r="D55" s="2">
        <f>_xlfn.IFNA(VLOOKUP(B55,Interest_Calculation[],2,FALSE),D54)</f>
        <v>1718</v>
      </c>
      <c r="E55" s="12">
        <f t="shared" si="1"/>
        <v>0.12943835616438357</v>
      </c>
    </row>
    <row r="56" spans="2:5" x14ac:dyDescent="0.25">
      <c r="B56" s="11">
        <v>45650</v>
      </c>
      <c r="C56" s="2" t="e">
        <f>_xlfn.XLOOKUP(B56,Q3_[DATE],Q3_[BALANCE],NA(),0,-1)</f>
        <v>#N/A</v>
      </c>
      <c r="D56" s="2">
        <f>_xlfn.IFNA(VLOOKUP(B56,Interest_Calculation[],2,FALSE),D55)</f>
        <v>1718</v>
      </c>
      <c r="E56" s="12">
        <f t="shared" si="1"/>
        <v>0.12943835616438357</v>
      </c>
    </row>
    <row r="57" spans="2:5" x14ac:dyDescent="0.25">
      <c r="B57" s="11">
        <v>45651</v>
      </c>
      <c r="C57" s="2">
        <f>_xlfn.XLOOKUP(B57,Q3_[DATE],Q3_[BALANCE],NA(),0,-1)</f>
        <v>1518</v>
      </c>
      <c r="D57" s="2">
        <f>_xlfn.IFNA(VLOOKUP(B57,Interest_Calculation[],2,FALSE),D56)</f>
        <v>1518</v>
      </c>
      <c r="E57" s="12">
        <f t="shared" si="1"/>
        <v>0.11436986301369863</v>
      </c>
    </row>
    <row r="58" spans="2:5" x14ac:dyDescent="0.25">
      <c r="B58" s="11">
        <v>45652</v>
      </c>
      <c r="C58" s="2">
        <f>_xlfn.XLOOKUP(B58,Q3_[DATE],Q3_[BALANCE],NA(),0,-1)</f>
        <v>1553</v>
      </c>
      <c r="D58" s="2">
        <f>_xlfn.IFNA(VLOOKUP(B58,Interest_Calculation[],2,FALSE),D57)</f>
        <v>1553</v>
      </c>
      <c r="E58" s="12">
        <f t="shared" si="1"/>
        <v>0.1170068493150685</v>
      </c>
    </row>
    <row r="59" spans="2:5" x14ac:dyDescent="0.25">
      <c r="B59" s="11">
        <v>45653</v>
      </c>
      <c r="C59" s="2" t="e">
        <f>_xlfn.XLOOKUP(B59,Q3_[DATE],Q3_[BALANCE],NA(),0,-1)</f>
        <v>#N/A</v>
      </c>
      <c r="D59" s="2">
        <f>_xlfn.IFNA(VLOOKUP(B59,Interest_Calculation[],2,FALSE),D58)</f>
        <v>1553</v>
      </c>
      <c r="E59" s="12">
        <f t="shared" si="1"/>
        <v>0.1170068493150685</v>
      </c>
    </row>
    <row r="60" spans="2:5" x14ac:dyDescent="0.25">
      <c r="B60" s="11">
        <v>45654</v>
      </c>
      <c r="C60" s="2">
        <f>_xlfn.XLOOKUP(B60,Q3_[DATE],Q3_[BALANCE],NA(),0,-1)</f>
        <v>238</v>
      </c>
      <c r="D60" s="2">
        <f>_xlfn.IFNA(VLOOKUP(B60,Interest_Calculation[],2,FALSE),D59)</f>
        <v>238</v>
      </c>
      <c r="E60" s="12">
        <f t="shared" si="1"/>
        <v>1.7931506849315069E-2</v>
      </c>
    </row>
    <row r="61" spans="2:5" x14ac:dyDescent="0.25">
      <c r="B61" s="11">
        <v>45655</v>
      </c>
      <c r="C61" s="2">
        <f>_xlfn.XLOOKUP(B61,Q3_[DATE],Q3_[BALANCE],NA(),0,-1)</f>
        <v>218</v>
      </c>
      <c r="D61" s="2">
        <f>_xlfn.IFNA(VLOOKUP(B61,Interest_Calculation[],2,FALSE),D60)</f>
        <v>218</v>
      </c>
      <c r="E61" s="12">
        <f t="shared" si="1"/>
        <v>1.6424657534246576E-2</v>
      </c>
    </row>
    <row r="62" spans="2:5" x14ac:dyDescent="0.25">
      <c r="B62" s="11">
        <v>45656</v>
      </c>
      <c r="C62" s="2" t="e">
        <f>_xlfn.XLOOKUP(B62,Q3_[DATE],Q3_[BALANCE],NA(),0,-1)</f>
        <v>#N/A</v>
      </c>
      <c r="D62" s="2">
        <f>_xlfn.IFNA(VLOOKUP(B62,Interest_Calculation[],2,FALSE),D61)</f>
        <v>218</v>
      </c>
      <c r="E62" s="12">
        <f t="shared" si="1"/>
        <v>1.6424657534246576E-2</v>
      </c>
    </row>
    <row r="63" spans="2:5" x14ac:dyDescent="0.25">
      <c r="B63" s="11">
        <v>45657</v>
      </c>
      <c r="C63" s="2">
        <f>_xlfn.XLOOKUP(B63,Q3_[DATE],Q3_[BALANCE],NA(),0,-1)</f>
        <v>218</v>
      </c>
      <c r="D63" s="2">
        <f>_xlfn.IFNA(VLOOKUP(B63,Interest_Calculation[],2,FALSE),D62)</f>
        <v>218</v>
      </c>
      <c r="E63" s="12">
        <f t="shared" si="1"/>
        <v>1.6424657534246576E-2</v>
      </c>
    </row>
    <row r="64" spans="2:5" x14ac:dyDescent="0.25">
      <c r="B64" s="11">
        <v>45658</v>
      </c>
      <c r="C64" s="2">
        <f>_xlfn.XLOOKUP(B64,Q3_[DATE],Q3_[BALANCE],NA(),0,-1)</f>
        <v>218</v>
      </c>
      <c r="D64" s="2">
        <f>_xlfn.IFNA(VLOOKUP(B64,Interest_Calculation[],2,FALSE),D63)</f>
        <v>218</v>
      </c>
      <c r="E64" s="12">
        <f t="shared" si="1"/>
        <v>1.6424657534246576E-2</v>
      </c>
    </row>
    <row r="65" spans="2:5" x14ac:dyDescent="0.25">
      <c r="B65" s="11">
        <v>45659</v>
      </c>
      <c r="C65" s="2">
        <f>_xlfn.XLOOKUP(B65,Q3_[DATE],Q3_[BALANCE],NA(),0,-1)</f>
        <v>168</v>
      </c>
      <c r="D65" s="2">
        <f>_xlfn.IFNA(VLOOKUP(B65,Interest_Calculation[],2,FALSE),D64)</f>
        <v>168</v>
      </c>
      <c r="E65" s="12">
        <f t="shared" si="1"/>
        <v>1.2657534246575343E-2</v>
      </c>
    </row>
    <row r="66" spans="2:5" x14ac:dyDescent="0.25">
      <c r="B66" s="11">
        <v>45660</v>
      </c>
      <c r="C66" s="2" t="e">
        <f>_xlfn.XLOOKUP(B66,Q3_[DATE],Q3_[BALANCE],NA(),0,-1)</f>
        <v>#N/A</v>
      </c>
      <c r="D66" s="2">
        <f>_xlfn.IFNA(VLOOKUP(B66,Interest_Calculation[],2,FALSE),D65)</f>
        <v>168</v>
      </c>
      <c r="E66" s="12">
        <f t="shared" si="1"/>
        <v>1.2657534246575343E-2</v>
      </c>
    </row>
    <row r="67" spans="2:5" x14ac:dyDescent="0.25">
      <c r="B67" s="11">
        <v>45661</v>
      </c>
      <c r="C67" s="2">
        <f>_xlfn.XLOOKUP(B67,Q3_[DATE],Q3_[BALANCE],NA(),0,-1)</f>
        <v>118</v>
      </c>
      <c r="D67" s="2">
        <f>_xlfn.IFNA(VLOOKUP(B67,Interest_Calculation[],2,FALSE),D66)</f>
        <v>118</v>
      </c>
      <c r="E67" s="12">
        <f t="shared" ref="E67:E98" si="2">D67*(2.75/365)/100</f>
        <v>8.8904109589041103E-3</v>
      </c>
    </row>
    <row r="68" spans="2:5" x14ac:dyDescent="0.25">
      <c r="B68" s="11">
        <v>45662</v>
      </c>
      <c r="C68" s="2" t="e">
        <f>_xlfn.XLOOKUP(B68,Q3_[DATE],Q3_[BALANCE],NA(),0,-1)</f>
        <v>#N/A</v>
      </c>
      <c r="D68" s="2">
        <f>_xlfn.IFNA(VLOOKUP(B68,Interest_Calculation[],2,FALSE),D67)</f>
        <v>118</v>
      </c>
      <c r="E68" s="12">
        <f t="shared" si="2"/>
        <v>8.8904109589041103E-3</v>
      </c>
    </row>
    <row r="69" spans="2:5" x14ac:dyDescent="0.25">
      <c r="B69" s="11">
        <v>45663</v>
      </c>
      <c r="C69" s="2" t="e">
        <f>_xlfn.XLOOKUP(B69,Q3_[DATE],Q3_[BALANCE],NA(),0,-1)</f>
        <v>#N/A</v>
      </c>
      <c r="D69" s="2">
        <f>_xlfn.IFNA(VLOOKUP(B69,Interest_Calculation[],2,FALSE),D68)</f>
        <v>118</v>
      </c>
      <c r="E69" s="12">
        <f t="shared" si="2"/>
        <v>8.8904109589041103E-3</v>
      </c>
    </row>
    <row r="70" spans="2:5" x14ac:dyDescent="0.25">
      <c r="B70" s="11">
        <v>45664</v>
      </c>
      <c r="C70" s="2" t="e">
        <f>_xlfn.XLOOKUP(B70,Q3_[DATE],Q3_[BALANCE],NA(),0,-1)</f>
        <v>#N/A</v>
      </c>
      <c r="D70" s="2">
        <f>_xlfn.IFNA(VLOOKUP(B70,Interest_Calculation[],2,FALSE),D69)</f>
        <v>118</v>
      </c>
      <c r="E70" s="12">
        <f t="shared" si="2"/>
        <v>8.8904109589041103E-3</v>
      </c>
    </row>
    <row r="71" spans="2:5" x14ac:dyDescent="0.25">
      <c r="B71" s="11">
        <v>45665</v>
      </c>
      <c r="C71" s="2" t="e">
        <f>_xlfn.XLOOKUP(B71,Q3_[DATE],Q3_[BALANCE],NA(),0,-1)</f>
        <v>#N/A</v>
      </c>
      <c r="D71" s="2">
        <f>_xlfn.IFNA(VLOOKUP(B71,Interest_Calculation[],2,FALSE),D70)</f>
        <v>118</v>
      </c>
      <c r="E71" s="12">
        <f t="shared" si="2"/>
        <v>8.8904109589041103E-3</v>
      </c>
    </row>
    <row r="72" spans="2:5" x14ac:dyDescent="0.25">
      <c r="B72" s="11">
        <v>45666</v>
      </c>
      <c r="C72" s="2">
        <f>_xlfn.XLOOKUP(B72,Q3_[DATE],Q3_[BALANCE],NA(),0,-1)</f>
        <v>118</v>
      </c>
      <c r="D72" s="2">
        <f>_xlfn.IFNA(VLOOKUP(B72,Interest_Calculation[],2,FALSE),D71)</f>
        <v>118</v>
      </c>
      <c r="E72" s="12">
        <f t="shared" si="2"/>
        <v>8.8904109589041103E-3</v>
      </c>
    </row>
    <row r="73" spans="2:5" x14ac:dyDescent="0.25">
      <c r="B73" s="11">
        <v>45667</v>
      </c>
      <c r="C73" s="2" t="e">
        <f>_xlfn.XLOOKUP(B73,Q3_[DATE],Q3_[BALANCE],NA(),0,-1)</f>
        <v>#N/A</v>
      </c>
      <c r="D73" s="2">
        <f>_xlfn.IFNA(VLOOKUP(B73,Interest_Calculation[],2,FALSE),D72)</f>
        <v>118</v>
      </c>
      <c r="E73" s="12">
        <f t="shared" si="2"/>
        <v>8.8904109589041103E-3</v>
      </c>
    </row>
    <row r="74" spans="2:5" x14ac:dyDescent="0.25">
      <c r="B74" s="11">
        <v>45668</v>
      </c>
      <c r="C74" s="2" t="e">
        <f>_xlfn.XLOOKUP(B74,Q3_[DATE],Q3_[BALANCE],NA(),0,-1)</f>
        <v>#N/A</v>
      </c>
      <c r="D74" s="2">
        <f>_xlfn.IFNA(VLOOKUP(B74,Interest_Calculation[],2,FALSE),D73)</f>
        <v>118</v>
      </c>
      <c r="E74" s="12">
        <f t="shared" si="2"/>
        <v>8.8904109589041103E-3</v>
      </c>
    </row>
    <row r="75" spans="2:5" x14ac:dyDescent="0.25">
      <c r="B75" s="11">
        <v>45669</v>
      </c>
      <c r="C75" s="2">
        <f>_xlfn.XLOOKUP(B75,Q3_[DATE],Q3_[BALANCE],NA(),0,-1)</f>
        <v>11559</v>
      </c>
      <c r="D75" s="2">
        <f>_xlfn.IFNA(VLOOKUP(B75,Interest_Calculation[],2,FALSE),D74)</f>
        <v>11559</v>
      </c>
      <c r="E75" s="12">
        <f t="shared" si="2"/>
        <v>0.87088356164383574</v>
      </c>
    </row>
    <row r="76" spans="2:5" x14ac:dyDescent="0.25">
      <c r="B76" s="11">
        <v>45670</v>
      </c>
      <c r="C76" s="2">
        <f>_xlfn.XLOOKUP(B76,Q3_[DATE],Q3_[BALANCE],NA(),0,-1)</f>
        <v>1798</v>
      </c>
      <c r="D76" s="2">
        <f>_xlfn.IFNA(VLOOKUP(B76,Interest_Calculation[],2,FALSE),D75)</f>
        <v>1798</v>
      </c>
      <c r="E76" s="12">
        <f t="shared" si="2"/>
        <v>0.13546575342465755</v>
      </c>
    </row>
    <row r="77" spans="2:5" x14ac:dyDescent="0.25">
      <c r="B77" s="11">
        <v>45671</v>
      </c>
      <c r="C77" s="2">
        <f>_xlfn.XLOOKUP(B77,Q3_[DATE],Q3_[BALANCE],NA(),0,-1)</f>
        <v>1802</v>
      </c>
      <c r="D77" s="2">
        <f>_xlfn.IFNA(VLOOKUP(B77,Interest_Calculation[],2,FALSE),D76)</f>
        <v>1802</v>
      </c>
      <c r="E77" s="12">
        <f t="shared" si="2"/>
        <v>0.13576712328767124</v>
      </c>
    </row>
    <row r="78" spans="2:5" x14ac:dyDescent="0.25">
      <c r="B78" s="11">
        <v>45672</v>
      </c>
      <c r="C78" s="2">
        <f>_xlfn.XLOOKUP(B78,Q3_[DATE],Q3_[BALANCE],NA(),0,-1)</f>
        <v>1302</v>
      </c>
      <c r="D78" s="2">
        <f>_xlfn.IFNA(VLOOKUP(B78,Interest_Calculation[],2,FALSE),D77)</f>
        <v>1302</v>
      </c>
      <c r="E78" s="12">
        <f t="shared" si="2"/>
        <v>9.8095890410958897E-2</v>
      </c>
    </row>
    <row r="79" spans="2:5" x14ac:dyDescent="0.25">
      <c r="B79" s="11">
        <v>45673</v>
      </c>
      <c r="C79" s="2">
        <f>_xlfn.XLOOKUP(B79,Q3_[DATE],Q3_[BALANCE],NA(),0,-1)</f>
        <v>1782</v>
      </c>
      <c r="D79" s="2">
        <f>_xlfn.IFNA(VLOOKUP(B79,Interest_Calculation[],2,FALSE),D78)</f>
        <v>1782</v>
      </c>
      <c r="E79" s="12">
        <f t="shared" si="2"/>
        <v>0.13426027397260273</v>
      </c>
    </row>
    <row r="80" spans="2:5" x14ac:dyDescent="0.25">
      <c r="B80" s="11">
        <v>45674</v>
      </c>
      <c r="C80" s="2">
        <f>_xlfn.XLOOKUP(B80,Q3_[DATE],Q3_[BALANCE],NA(),0,-1)</f>
        <v>3002</v>
      </c>
      <c r="D80" s="2">
        <f>_xlfn.IFNA(VLOOKUP(B80,Interest_Calculation[],2,FALSE),D79)</f>
        <v>3002</v>
      </c>
      <c r="E80" s="12">
        <f t="shared" si="2"/>
        <v>0.22617808219178084</v>
      </c>
    </row>
    <row r="81" spans="2:5" x14ac:dyDescent="0.25">
      <c r="B81" s="11">
        <v>45675</v>
      </c>
      <c r="C81" s="2">
        <f>_xlfn.XLOOKUP(B81,Q3_[DATE],Q3_[BALANCE],NA(),0,-1)</f>
        <v>3002</v>
      </c>
      <c r="D81" s="2">
        <f>_xlfn.IFNA(VLOOKUP(B81,Interest_Calculation[],2,FALSE),D80)</f>
        <v>3002</v>
      </c>
      <c r="E81" s="12">
        <f t="shared" si="2"/>
        <v>0.22617808219178084</v>
      </c>
    </row>
    <row r="82" spans="2:5" x14ac:dyDescent="0.25">
      <c r="B82" s="11">
        <v>45676</v>
      </c>
      <c r="C82" s="2" t="e">
        <f>_xlfn.XLOOKUP(B82,Q3_[DATE],Q3_[BALANCE],NA(),0,-1)</f>
        <v>#N/A</v>
      </c>
      <c r="D82" s="2">
        <f>_xlfn.IFNA(VLOOKUP(B82,Interest_Calculation[],2,FALSE),D81)</f>
        <v>3002</v>
      </c>
      <c r="E82" s="12">
        <f t="shared" si="2"/>
        <v>0.22617808219178084</v>
      </c>
    </row>
    <row r="83" spans="2:5" x14ac:dyDescent="0.25">
      <c r="B83" s="11">
        <v>45677</v>
      </c>
      <c r="C83" s="2" t="e">
        <f>_xlfn.XLOOKUP(B83,Q3_[DATE],Q3_[BALANCE],NA(),0,-1)</f>
        <v>#N/A</v>
      </c>
      <c r="D83" s="2">
        <f>_xlfn.IFNA(VLOOKUP(B83,Interest_Calculation[],2,FALSE),D82)</f>
        <v>3002</v>
      </c>
      <c r="E83" s="12">
        <f t="shared" si="2"/>
        <v>0.22617808219178084</v>
      </c>
    </row>
    <row r="84" spans="2:5" x14ac:dyDescent="0.25">
      <c r="B84" s="11">
        <v>45678</v>
      </c>
      <c r="C84" s="2" t="e">
        <f>_xlfn.XLOOKUP(B84,Q3_[DATE],Q3_[BALANCE],NA(),0,-1)</f>
        <v>#N/A</v>
      </c>
      <c r="D84" s="2">
        <f>_xlfn.IFNA(VLOOKUP(B84,Interest_Calculation[],2,FALSE),D83)</f>
        <v>3002</v>
      </c>
      <c r="E84" s="12">
        <f t="shared" si="2"/>
        <v>0.22617808219178084</v>
      </c>
    </row>
    <row r="85" spans="2:5" x14ac:dyDescent="0.25">
      <c r="B85" s="11">
        <v>45679</v>
      </c>
      <c r="C85" s="2" t="e">
        <f>_xlfn.XLOOKUP(B85,Q3_[DATE],Q3_[BALANCE],NA(),0,-1)</f>
        <v>#N/A</v>
      </c>
      <c r="D85" s="2">
        <f>_xlfn.IFNA(VLOOKUP(B85,Interest_Calculation[],2,FALSE),D84)</f>
        <v>3002</v>
      </c>
      <c r="E85" s="12">
        <f t="shared" si="2"/>
        <v>0.22617808219178084</v>
      </c>
    </row>
    <row r="86" spans="2:5" x14ac:dyDescent="0.25">
      <c r="B86" s="11">
        <v>45680</v>
      </c>
      <c r="C86" s="2" t="e">
        <f>_xlfn.XLOOKUP(B86,Q3_[DATE],Q3_[BALANCE],NA(),0,-1)</f>
        <v>#N/A</v>
      </c>
      <c r="D86" s="2">
        <f>_xlfn.IFNA(VLOOKUP(B86,Interest_Calculation[],2,FALSE),D85)</f>
        <v>3002</v>
      </c>
      <c r="E86" s="12">
        <f t="shared" si="2"/>
        <v>0.22617808219178084</v>
      </c>
    </row>
    <row r="87" spans="2:5" x14ac:dyDescent="0.25">
      <c r="B87" s="11">
        <v>45681</v>
      </c>
      <c r="C87" s="2" t="e">
        <f>_xlfn.XLOOKUP(B87,Q3_[DATE],Q3_[BALANCE],NA(),0,-1)</f>
        <v>#N/A</v>
      </c>
      <c r="D87" s="2">
        <f>_xlfn.IFNA(VLOOKUP(B87,Interest_Calculation[],2,FALSE),D86)</f>
        <v>3002</v>
      </c>
      <c r="E87" s="12">
        <f t="shared" si="2"/>
        <v>0.22617808219178084</v>
      </c>
    </row>
    <row r="88" spans="2:5" x14ac:dyDescent="0.25">
      <c r="B88" s="11">
        <v>45682</v>
      </c>
      <c r="C88" s="2">
        <f>_xlfn.XLOOKUP(B88,Q3_[DATE],Q3_[BALANCE],NA(),0,-1)</f>
        <v>2902</v>
      </c>
      <c r="D88" s="2">
        <f>_xlfn.IFNA(VLOOKUP(B88,Interest_Calculation[],2,FALSE),D87)</f>
        <v>2902</v>
      </c>
      <c r="E88" s="12">
        <f t="shared" si="2"/>
        <v>0.21864383561643838</v>
      </c>
    </row>
    <row r="89" spans="2:5" x14ac:dyDescent="0.25">
      <c r="B89" s="11">
        <v>45683</v>
      </c>
      <c r="C89" s="2" t="e">
        <f>_xlfn.XLOOKUP(B89,Q3_[DATE],Q3_[BALANCE],NA(),0,-1)</f>
        <v>#N/A</v>
      </c>
      <c r="D89" s="2">
        <f>_xlfn.IFNA(VLOOKUP(B89,Interest_Calculation[],2,FALSE),D88)</f>
        <v>2902</v>
      </c>
      <c r="E89" s="12">
        <f t="shared" si="2"/>
        <v>0.21864383561643838</v>
      </c>
    </row>
    <row r="90" spans="2:5" x14ac:dyDescent="0.25">
      <c r="B90" s="11">
        <v>45684</v>
      </c>
      <c r="C90" s="2">
        <f>_xlfn.XLOOKUP(B90,Q3_[DATE],Q3_[BALANCE],NA(),0,-1)</f>
        <v>2902</v>
      </c>
      <c r="D90" s="2">
        <f>_xlfn.IFNA(VLOOKUP(B90,Interest_Calculation[],2,FALSE),D89)</f>
        <v>2902</v>
      </c>
      <c r="E90" s="12">
        <f t="shared" si="2"/>
        <v>0.21864383561643838</v>
      </c>
    </row>
    <row r="91" spans="2:5" x14ac:dyDescent="0.25">
      <c r="B91" s="11">
        <v>45685</v>
      </c>
      <c r="C91" s="2">
        <f>_xlfn.XLOOKUP(B91,Q3_[DATE],Q3_[BALANCE],NA(),0,-1)</f>
        <v>2446</v>
      </c>
      <c r="D91" s="2">
        <f>_xlfn.IFNA(VLOOKUP(B91,Interest_Calculation[],2,FALSE),D90)</f>
        <v>2446</v>
      </c>
      <c r="E91" s="12">
        <f t="shared" si="2"/>
        <v>0.1842876712328767</v>
      </c>
    </row>
    <row r="92" spans="2:5" x14ac:dyDescent="0.25">
      <c r="B92" s="11">
        <v>45686</v>
      </c>
      <c r="C92" s="2">
        <f>_xlfn.XLOOKUP(B92,Q3_[DATE],Q3_[BALANCE],NA(),0,-1)</f>
        <v>1688</v>
      </c>
      <c r="D92" s="2">
        <f>_xlfn.IFNA(VLOOKUP(B92,Interest_Calculation[],2,FALSE),D91)</f>
        <v>1688</v>
      </c>
      <c r="E92" s="12">
        <f t="shared" si="2"/>
        <v>0.12717808219178084</v>
      </c>
    </row>
    <row r="93" spans="2:5" x14ac:dyDescent="0.25">
      <c r="B93" s="11">
        <v>45687</v>
      </c>
      <c r="C93" s="2" t="e">
        <f>_xlfn.XLOOKUP(B93,Q3_[DATE],Q3_[BALANCE],NA(),0,-1)</f>
        <v>#N/A</v>
      </c>
      <c r="D93" s="2">
        <f>_xlfn.IFNA(VLOOKUP(B93,Interest_Calculation[],2,FALSE),D92)</f>
        <v>1688</v>
      </c>
      <c r="E93" s="12">
        <f t="shared" si="2"/>
        <v>0.12717808219178084</v>
      </c>
    </row>
    <row r="94" spans="2:5" x14ac:dyDescent="0.25">
      <c r="B94" s="13">
        <v>45688</v>
      </c>
      <c r="C94" s="14">
        <f>_xlfn.XLOOKUP(B94,Q3_[DATE],Q3_[BALANCE],NA(),0,-1)</f>
        <v>1688</v>
      </c>
      <c r="D94" s="14">
        <f>_xlfn.IFNA(VLOOKUP(B94,Interest_Calculation[],2,FALSE),D93)</f>
        <v>1688</v>
      </c>
      <c r="E94" s="15">
        <f t="shared" si="2"/>
        <v>0.12717808219178084</v>
      </c>
    </row>
    <row r="97" spans="4:5" x14ac:dyDescent="0.25">
      <c r="D97" s="29" t="s">
        <v>26</v>
      </c>
      <c r="E97">
        <f>SUM(Interest_Calculation[Interest])</f>
        <v>26.480179452054777</v>
      </c>
    </row>
  </sheetData>
  <mergeCells count="3">
    <mergeCell ref="G14:G16"/>
    <mergeCell ref="J14:J16"/>
    <mergeCell ref="K14:K16"/>
  </mergeCells>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4C6319B-0C68-45BC-87DA-28E8163D564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vt:lpstr>
      <vt:lpstr>Q3_</vt:lpstr>
      <vt:lpstr>Interest_Calculation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 sharma</dc:creator>
  <cp:lastModifiedBy>Administrator</cp:lastModifiedBy>
  <dcterms:created xsi:type="dcterms:W3CDTF">2015-06-05T18:17:20Z</dcterms:created>
  <dcterms:modified xsi:type="dcterms:W3CDTF">2025-02-12T11:03:31Z</dcterms:modified>
</cp:coreProperties>
</file>