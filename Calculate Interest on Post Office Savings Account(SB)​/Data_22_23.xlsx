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POST OFFICE\"/>
    </mc:Choice>
  </mc:AlternateContent>
  <xr:revisionPtr revIDLastSave="0" documentId="13_ncr:1_{107ECA08-2FFE-4DD8-8BB4-521B45AE8999}" xr6:coauthVersionLast="47" xr6:coauthVersionMax="47" xr10:uidLastSave="{00000000-0000-0000-0000-000000000000}"/>
  <bookViews>
    <workbookView xWindow="-120" yWindow="-120" windowWidth="19440" windowHeight="15000" xr2:uid="{37A717C8-F80E-4C49-AB0C-67D7971BCD1D}"/>
  </bookViews>
  <sheets>
    <sheet name="Data_22_23" sheetId="5" r:id="rId1"/>
    <sheet name="Monthly_Data" sheetId="7" r:id="rId2"/>
  </sheets>
  <definedNames>
    <definedName name="_xlnm._FilterDatabase" localSheetId="0" hidden="1">Data_22_23!$K$3:$L$3</definedName>
    <definedName name="ExternalData_1" localSheetId="1" hidden="1">Monthly_Data!#REF!</definedName>
    <definedName name="ExternalData_10" localSheetId="1" hidden="1">Monthly_Data!#REF!</definedName>
    <definedName name="ExternalData_11" localSheetId="1" hidden="1">Monthly_Data!#REF!</definedName>
    <definedName name="ExternalData_12" localSheetId="1" hidden="1">Monthly_Data!#REF!</definedName>
    <definedName name="ExternalData_2" localSheetId="1" hidden="1">Monthly_Data!#REF!</definedName>
    <definedName name="ExternalData_3" localSheetId="1" hidden="1">Monthly_Data!#REF!</definedName>
    <definedName name="ExternalData_4" localSheetId="1" hidden="1">Monthly_Data!#REF!</definedName>
    <definedName name="ExternalData_5" localSheetId="1" hidden="1">Monthly_Data!#REF!</definedName>
    <definedName name="ExternalData_6" localSheetId="1" hidden="1">Monthly_Data!#REF!</definedName>
    <definedName name="ExternalData_7" localSheetId="1" hidden="1">Monthly_Data!#REF!</definedName>
    <definedName name="ExternalData_8" localSheetId="1" hidden="1">Monthly_Data!#REF!</definedName>
    <definedName name="ExternalData_9" localSheetId="1" hidden="1">Monthly_Data!#REF!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5" l="1"/>
  <c r="B2" i="5"/>
  <c r="C18" i="7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" i="7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F3" i="7" l="1"/>
  <c r="H4" i="5" s="1"/>
  <c r="E7" i="5"/>
  <c r="L16" i="5"/>
  <c r="L18" i="5" s="1"/>
  <c r="E8" i="5" l="1"/>
  <c r="C43" i="7"/>
  <c r="C44" i="7" s="1"/>
  <c r="E9" i="5" l="1"/>
  <c r="C45" i="7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l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E10" i="5"/>
  <c r="C144" i="7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F4" i="7"/>
  <c r="H5" i="5" s="1"/>
  <c r="C168" i="7" l="1"/>
  <c r="C169" i="7" s="1"/>
  <c r="C170" i="7" s="1"/>
  <c r="C171" i="7" s="1"/>
  <c r="C172" i="7" s="1"/>
  <c r="C173" i="7" s="1"/>
  <c r="C174" i="7" s="1"/>
  <c r="C175" i="7" s="1"/>
  <c r="E11" i="5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176" i="7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F5" i="7"/>
  <c r="H6" i="5" s="1"/>
  <c r="C106" i="7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F6" i="7"/>
  <c r="H7" i="5" s="1"/>
  <c r="C290" i="7" l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F12" i="7"/>
  <c r="H13" i="5" s="1"/>
  <c r="C198" i="7"/>
  <c r="C199" i="7" s="1"/>
  <c r="C200" i="7" s="1"/>
  <c r="C201" i="7" s="1"/>
  <c r="C202" i="7" s="1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F9" i="7"/>
  <c r="H10" i="5" s="1"/>
  <c r="C137" i="7"/>
  <c r="C138" i="7" s="1"/>
  <c r="C139" i="7" s="1"/>
  <c r="C140" i="7" s="1"/>
  <c r="C141" i="7" s="1"/>
  <c r="C142" i="7" s="1"/>
  <c r="C143" i="7" s="1"/>
  <c r="F7" i="7"/>
  <c r="H8" i="5" s="1"/>
  <c r="F8" i="7"/>
  <c r="H9" i="5" s="1"/>
  <c r="C229" i="7" l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321" i="7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F13" i="7"/>
  <c r="H14" i="5" s="1"/>
  <c r="C349" i="7" l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F14" i="7"/>
  <c r="H15" i="5" s="1"/>
  <c r="F10" i="7"/>
  <c r="H11" i="5" s="1"/>
  <c r="C259" i="7"/>
  <c r="C260" i="7" s="1"/>
  <c r="C261" i="7" s="1"/>
  <c r="C262" i="7" s="1"/>
  <c r="C263" i="7" s="1"/>
  <c r="C264" i="7" s="1"/>
  <c r="C265" i="7" s="1"/>
  <c r="F11" i="7"/>
  <c r="H12" i="5" s="1"/>
  <c r="H16" i="5" l="1"/>
  <c r="H18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FB65FA-11F0-4E08-937B-DDA3E615BEE1}" keepAlive="1" name="Query - April" description="Connection to the 'April' query in the workbook." type="5" refreshedVersion="8" background="1" saveData="1">
    <dbPr connection="Provider=Microsoft.Mashup.OleDb.1;Data Source=$Workbook$;Location=April;Extended Properties=&quot;&quot;" command="SELECT * FROM [April]"/>
  </connection>
  <connection id="2" xr16:uid="{BA882A3C-E119-4B0A-9AE6-1E26495FD0E1}" keepAlive="1" name="Query - August" description="Connection to the 'August' query in the workbook." type="5" refreshedVersion="8" background="1" saveData="1">
    <dbPr connection="Provider=Microsoft.Mashup.OleDb.1;Data Source=$Workbook$;Location=August;Extended Properties=&quot;&quot;" command="SELECT * FROM [August]"/>
  </connection>
  <connection id="3" xr16:uid="{F64CBDDB-D09C-44C9-B43D-707680D62380}" keepAlive="1" name="Query - December" description="Connection to the 'December' query in the workbook." type="5" refreshedVersion="8" background="1" saveData="1">
    <dbPr connection="Provider=Microsoft.Mashup.OleDb.1;Data Source=$Workbook$;Location=December;Extended Properties=&quot;&quot;" command="SELECT * FROM [December]"/>
  </connection>
  <connection id="4" xr16:uid="{733DB382-B59C-49A9-841B-12011B8F6C78}" keepAlive="1" name="Query - February" description="Connection to the 'February' query in the workbook." type="5" refreshedVersion="8" background="1" saveData="1">
    <dbPr connection="Provider=Microsoft.Mashup.OleDb.1;Data Source=$Workbook$;Location=February;Extended Properties=&quot;&quot;" command="SELECT * FROM [February]"/>
  </connection>
  <connection id="5" xr16:uid="{EB4C1B19-B00E-443C-9B8C-A5A3082C335E}" keepAlive="1" name="Query - January" description="Connection to the 'January' query in the workbook." type="5" refreshedVersion="8" background="1" saveData="1">
    <dbPr connection="Provider=Microsoft.Mashup.OleDb.1;Data Source=$Workbook$;Location=January;Extended Properties=&quot;&quot;" command="SELECT * FROM [January]"/>
  </connection>
  <connection id="6" xr16:uid="{EBFE7E80-159D-4703-A936-97FF89EAB637}" keepAlive="1" name="Query - July" description="Connection to the 'July' query in the workbook." type="5" refreshedVersion="8" background="1" saveData="1">
    <dbPr connection="Provider=Microsoft.Mashup.OleDb.1;Data Source=$Workbook$;Location=July;Extended Properties=&quot;&quot;" command="SELECT * FROM [July]"/>
  </connection>
  <connection id="7" xr16:uid="{76D482E4-3CC1-4B71-AE98-318610FD23B1}" keepAlive="1" name="Query - June" description="Connection to the 'June' query in the workbook." type="5" refreshedVersion="8" background="1" saveData="1">
    <dbPr connection="Provider=Microsoft.Mashup.OleDb.1;Data Source=$Workbook$;Location=June;Extended Properties=&quot;&quot;" command="SELECT * FROM [June]"/>
  </connection>
  <connection id="8" xr16:uid="{6F27D7DD-52AD-4B56-8911-077FD6052BCC}" keepAlive="1" name="Query - March" description="Connection to the 'March' query in the workbook." type="5" refreshedVersion="8" background="1" saveData="1">
    <dbPr connection="Provider=Microsoft.Mashup.OleDb.1;Data Source=$Workbook$;Location=March;Extended Properties=&quot;&quot;" command="SELECT * FROM [March]"/>
  </connection>
  <connection id="9" xr16:uid="{5891239F-019C-4E4B-889F-0AE934CFCBE8}" keepAlive="1" name="Query - May" description="Connection to the 'May' query in the workbook." type="5" refreshedVersion="8" background="1" saveData="1">
    <dbPr connection="Provider=Microsoft.Mashup.OleDb.1;Data Source=$Workbook$;Location=May;Extended Properties=&quot;&quot;" command="SELECT * FROM [May]"/>
  </connection>
  <connection id="10" xr16:uid="{2D7A3DB7-6729-4519-8FC8-B4331B2E5005}" keepAlive="1" name="Query - November" description="Connection to the 'November' query in the workbook." type="5" refreshedVersion="8" background="1" saveData="1">
    <dbPr connection="Provider=Microsoft.Mashup.OleDb.1;Data Source=$Workbook$;Location=November;Extended Properties=&quot;&quot;" command="SELECT * FROM [November]"/>
  </connection>
  <connection id="11" xr16:uid="{D9396220-ED4E-4C52-81A5-D073506BB328}" keepAlive="1" name="Query - October" description="Connection to the 'October' query in the workbook." type="5" refreshedVersion="8" background="1" saveData="1">
    <dbPr connection="Provider=Microsoft.Mashup.OleDb.1;Data Source=$Workbook$;Location=October;Extended Properties=&quot;&quot;" command="SELECT * FROM [October]"/>
  </connection>
  <connection id="12" xr16:uid="{77F582AB-A7CA-4273-BE3F-3DD2129CC043}" keepAlive="1" name="Query - September" description="Connection to the 'September' query in the workbook." type="5" refreshedVersion="8" background="1" saveData="1">
    <dbPr connection="Provider=Microsoft.Mashup.OleDb.1;Data Source=$Workbook$;Location=September;Extended Properties=&quot;&quot;" command="SELECT * FROM [September]"/>
  </connection>
</connections>
</file>

<file path=xl/sharedStrings.xml><?xml version="1.0" encoding="utf-8"?>
<sst xmlns="http://schemas.openxmlformats.org/spreadsheetml/2006/main" count="24" uniqueCount="15">
  <si>
    <t>Amount</t>
  </si>
  <si>
    <t>Transaction Type</t>
  </si>
  <si>
    <t>Debit</t>
  </si>
  <si>
    <t>Credit</t>
  </si>
  <si>
    <t>Month - YEAR</t>
  </si>
  <si>
    <t>Minimum Balance</t>
  </si>
  <si>
    <t>Total</t>
  </si>
  <si>
    <t>Balance</t>
  </si>
  <si>
    <t>Date</t>
  </si>
  <si>
    <t>MANUAL</t>
  </si>
  <si>
    <t>INTREST</t>
  </si>
  <si>
    <t>Month</t>
  </si>
  <si>
    <t>BY FORMULA</t>
  </si>
  <si>
    <t>Per Day</t>
  </si>
  <si>
    <t>Clossing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</si>
</sst>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/mmm/yyyy"/>
    <numFmt numFmtId="165" formatCode="mmm/yyyy"/>
    <numFmt numFmtId="166" formatCode="_ [$₹-4009]\ * #,##0.00_ ;_ [$₹-4009]\ * \-#,##0.00_ ;_ [$₹-4009]\ * &quot;-&quot;??_ ;_ @_ "/>
    <numFmt numFmtId="167" formatCode="_ [$₹-4009]\ * #,##0_ ;_ [$₹-4009]\ * \-#,##0_ ;_ [$₹-4009]\ * &quot;-&quot;??_ ;_ @_ "/>
    <numFmt numFmtId="168" formatCode="mmmm"/>
    <numFmt numFmtId="169" formatCode="d\-mmm\-yyyy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1" xfId="0" applyBorder="1"/>
    <xf numFmtId="0" fontId="0" fillId="0" borderId="5" xfId="0" applyBorder="1" applyAlignment="1">
      <alignment horizontal="center" vertical="center" wrapText="1"/>
    </xf>
    <xf numFmtId="164" fontId="0" fillId="0" borderId="1" xfId="0" applyNumberFormat="1" applyBorder="1"/>
    <xf numFmtId="0" fontId="0" fillId="3" borderId="1" xfId="0" applyFill="1" applyBorder="1"/>
    <xf numFmtId="164" fontId="0" fillId="0" borderId="2" xfId="0" applyNumberFormat="1" applyBorder="1"/>
    <xf numFmtId="164" fontId="0" fillId="3" borderId="2" xfId="0" applyNumberFormat="1" applyFill="1" applyBorder="1"/>
    <xf numFmtId="164" fontId="0" fillId="3" borderId="6" xfId="0" applyNumberFormat="1" applyFill="1" applyBorder="1"/>
    <xf numFmtId="0" fontId="0" fillId="3" borderId="9" xfId="0" applyFill="1" applyBorder="1"/>
    <xf numFmtId="0" fontId="3" fillId="2" borderId="4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166" fontId="0" fillId="4" borderId="1" xfId="0" applyNumberFormat="1" applyFill="1" applyBorder="1"/>
    <xf numFmtId="0" fontId="2" fillId="4" borderId="1" xfId="0" applyFont="1" applyFill="1" applyBorder="1" applyAlignment="1">
      <alignment horizontal="center"/>
    </xf>
    <xf numFmtId="165" fontId="0" fillId="0" borderId="1" xfId="0" applyNumberFormat="1" applyBorder="1" applyAlignment="1">
      <alignment vertical="center"/>
    </xf>
    <xf numFmtId="166" fontId="0" fillId="0" borderId="1" xfId="0" applyNumberFormat="1" applyBorder="1" applyAlignment="1">
      <alignment vertical="center"/>
    </xf>
    <xf numFmtId="165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65" fontId="0" fillId="0" borderId="2" xfId="0" applyNumberFormat="1" applyBorder="1" applyAlignment="1">
      <alignment vertical="center"/>
    </xf>
    <xf numFmtId="166" fontId="0" fillId="0" borderId="3" xfId="0" applyNumberFormat="1" applyBorder="1" applyAlignment="1">
      <alignment vertical="center"/>
    </xf>
    <xf numFmtId="165" fontId="1" fillId="0" borderId="6" xfId="0" applyNumberFormat="1" applyFont="1" applyBorder="1" applyAlignment="1">
      <alignment horizontal="right" vertical="center"/>
    </xf>
    <xf numFmtId="166" fontId="0" fillId="0" borderId="7" xfId="0" applyNumberFormat="1" applyBorder="1" applyAlignment="1">
      <alignment vertical="center"/>
    </xf>
    <xf numFmtId="167" fontId="0" fillId="0" borderId="3" xfId="0" applyNumberFormat="1" applyBorder="1"/>
    <xf numFmtId="167" fontId="0" fillId="3" borderId="3" xfId="0" applyNumberFormat="1" applyFill="1" applyBorder="1"/>
    <xf numFmtId="167" fontId="0" fillId="0" borderId="1" xfId="0" applyNumberFormat="1" applyBorder="1"/>
    <xf numFmtId="167" fontId="0" fillId="3" borderId="7" xfId="0" applyNumberFormat="1" applyFill="1" applyBorder="1"/>
    <xf numFmtId="167" fontId="0" fillId="3" borderId="1" xfId="0" applyNumberFormat="1" applyFill="1" applyBorder="1"/>
    <xf numFmtId="167" fontId="0" fillId="3" borderId="9" xfId="0" applyNumberFormat="1" applyFill="1" applyBorder="1"/>
    <xf numFmtId="168" fontId="0" fillId="0" borderId="1" xfId="0" applyNumberFormat="1" applyBorder="1"/>
    <xf numFmtId="169" fontId="0" fillId="0" borderId="1" xfId="0" applyNumberForma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4" fillId="0" borderId="0" xfId="1"/>
  </cellXfs>
  <cellStyles count="2">
    <cellStyle name="Hyperlink" xfId="1" builtinId="8"/>
    <cellStyle name="Normal" xfId="0" builtinId="0"/>
  </cellStyles>
  <dxfs count="20">
    <dxf>
      <numFmt numFmtId="167" formatCode="_ [$₹-4009]\ * #,##0_ ;_ [$₹-4009]\ * \-#,##0_ ;_ [$₹-4009]\ * &quot;-&quot;??_ ;_ @_ "/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_ [$₹-4009]\ * #,##0_ ;_ [$₹-4009]\ * \-#,##0_ ;_ [$₹-4009]\ * &quot;-&quot;??_ ;_ @_ "/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dd/mmm/yyyy"/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6" formatCode="_ [$₹-4009]\ * #,##0.00_ ;_ [$₹-4009]\ * \-#,##0.00_ ;_ [$₹-4009]\ * &quot;-&quot;??_ ;_ @_ "/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mmm/yyyy"/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6" formatCode="_ [$₹-4009]\ * #,##0.00_ ;_ [$₹-4009]\ * \-#,##0.00_ ;_ [$₹-4009]\ * &quot;-&quot;??_ ;_ @_ "/>
      <alignment vertic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mmm/yyyy"/>
      <alignment vertical="center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813EE40-F32C-471E-81F0-E5FB0FF2449A}" name="IBB" displayName="IBB" ref="K3:L16" totalsRowShown="0" headerRowDxfId="19" dataDxfId="17" headerRowBorderDxfId="18" tableBorderDxfId="16" totalsRowBorderDxfId="15">
  <autoFilter ref="K3:L16" xr:uid="{3813EE40-F32C-471E-81F0-E5FB0FF2449A}"/>
  <tableColumns count="2">
    <tableColumn id="1" xr3:uid="{0C3969AB-BD0A-47D7-857E-FC3D91FE58CA}" name="Month - YEAR" dataDxfId="14"/>
    <tableColumn id="2" xr3:uid="{7634B808-B7DC-4A93-8EA3-B578F9E9EA6C}" name="Minimum Balance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B19590-0687-4894-AF5A-D4F3EE58018D}" name="IBB_" displayName="IBB_" ref="G3:H16" totalsRowShown="0" headerRowDxfId="12" dataDxfId="10" headerRowBorderDxfId="11">
  <autoFilter ref="G3:H16" xr:uid="{70B19590-0687-4894-AF5A-D4F3EE58018D}"/>
  <tableColumns count="2">
    <tableColumn id="1" xr3:uid="{68D74637-399C-438D-9446-31F1C4FA5282}" name="Month - YEAR" dataDxfId="9"/>
    <tableColumn id="2" xr3:uid="{B16C35FD-BBFB-477C-97E6-88570766BF63}" name="Minimum Balance" dataDxfId="8">
      <calculatedColumnFormula>Monthly_Data!F3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4F153B-BC9F-4A62-B341-114E9249E669}" name="Data_22_23" displayName="Data_22_23" ref="B5:E11" totalsRowShown="0" headerRowDxfId="7" headerRowBorderDxfId="6" tableBorderDxfId="5" totalsRowBorderDxfId="4">
  <autoFilter ref="B5:E11" xr:uid="{224F153B-BC9F-4A62-B341-114E9249E669}"/>
  <tableColumns count="4">
    <tableColumn id="1" xr3:uid="{0B2DC8D2-8664-4D37-B4F2-68D565E60D4B}" name="Date" dataDxfId="3"/>
    <tableColumn id="2" xr3:uid="{5FFD3F2A-53FD-41B6-9321-B87E3C4F46BE}" name="Amount" dataDxfId="2"/>
    <tableColumn id="3" xr3:uid="{22A2BEB8-4581-48A1-A87C-6BC8B7095C8E}" name="Transaction Type" dataDxfId="1"/>
    <tableColumn id="4" xr3:uid="{E2C63974-1442-4DD9-B9F2-1AC5C6C06097}" name="Balance" dataDxfId="0">
      <calculatedColumnFormula>IF(D6="Credit",E5+C6,E5-C6)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8B45D-2560-46F0-BC37-87288E457B92}">
  <dimension ref="B1:L18"/>
  <sheetViews>
    <sheetView showGridLines="0" tabSelected="1" zoomScale="115" zoomScaleNormal="115" workbookViewId="0">
      <selection activeCell="D18" sqref="D18"/>
    </sheetView>
  </sheetViews>
  <sheetFormatPr defaultRowHeight="15" x14ac:dyDescent="0.25"/>
  <cols>
    <col min="2" max="3" width="13.7109375" bestFit="1" customWidth="1"/>
    <col min="4" max="4" width="17.140625" customWidth="1"/>
    <col min="5" max="5" width="13.42578125" bestFit="1" customWidth="1"/>
    <col min="7" max="7" width="12.140625" bestFit="1" customWidth="1"/>
    <col min="8" max="8" width="14.28515625" bestFit="1" customWidth="1"/>
    <col min="11" max="11" width="12.7109375" bestFit="1" customWidth="1"/>
    <col min="12" max="12" width="15.42578125" bestFit="1" customWidth="1"/>
  </cols>
  <sheetData>
    <row r="1" spans="2:12" x14ac:dyDescent="0.25">
      <c r="G1" s="34" t="s">
        <v>12</v>
      </c>
      <c r="H1" s="34"/>
      <c r="K1" s="34" t="s">
        <v>9</v>
      </c>
      <c r="L1" s="34"/>
    </row>
    <row r="2" spans="2:12" x14ac:dyDescent="0.25">
      <c r="B2" s="35" t="str">
        <f>HYPERLINK("https://www.indiapost.gov.in/Financial/pages/content/post-office-saving-schemes.aspx","Reference")</f>
        <v>Reference</v>
      </c>
      <c r="C2" s="35" t="str">
        <f>HYPERLINK("https://www.ippbonline.com/web/ippb/dop-product-payment","ePassbook")</f>
        <v>ePassbook</v>
      </c>
    </row>
    <row r="3" spans="2:12" ht="30.95" customHeight="1" x14ac:dyDescent="0.25">
      <c r="G3" s="17" t="s">
        <v>4</v>
      </c>
      <c r="H3" s="17" t="s">
        <v>5</v>
      </c>
      <c r="K3" s="18" t="s">
        <v>4</v>
      </c>
      <c r="L3" s="2" t="s">
        <v>5</v>
      </c>
    </row>
    <row r="4" spans="2:12" x14ac:dyDescent="0.25">
      <c r="G4" s="14">
        <v>44652</v>
      </c>
      <c r="H4" s="15">
        <f>Monthly_Data!F3</f>
        <v>1374</v>
      </c>
      <c r="K4" s="19">
        <v>44652</v>
      </c>
      <c r="L4" s="20">
        <v>1374</v>
      </c>
    </row>
    <row r="5" spans="2:12" x14ac:dyDescent="0.25">
      <c r="B5" s="9" t="s">
        <v>8</v>
      </c>
      <c r="C5" s="10" t="s">
        <v>0</v>
      </c>
      <c r="D5" s="10" t="s">
        <v>1</v>
      </c>
      <c r="E5" s="11" t="s">
        <v>7</v>
      </c>
      <c r="G5" s="14">
        <v>44682</v>
      </c>
      <c r="H5" s="15">
        <f>Monthly_Data!F4</f>
        <v>61374</v>
      </c>
      <c r="K5" s="19">
        <v>44682</v>
      </c>
      <c r="L5" s="20">
        <v>61374</v>
      </c>
    </row>
    <row r="6" spans="2:12" x14ac:dyDescent="0.25">
      <c r="B6" s="5">
        <v>44666</v>
      </c>
      <c r="C6" s="25">
        <v>1374</v>
      </c>
      <c r="D6" s="3" t="s">
        <v>3</v>
      </c>
      <c r="E6" s="23">
        <v>1374</v>
      </c>
      <c r="G6" s="14">
        <v>44713</v>
      </c>
      <c r="H6" s="15">
        <f>Monthly_Data!F5</f>
        <v>71374</v>
      </c>
      <c r="K6" s="19">
        <v>44713</v>
      </c>
      <c r="L6" s="20">
        <v>71374</v>
      </c>
    </row>
    <row r="7" spans="2:12" x14ac:dyDescent="0.25">
      <c r="B7" s="6">
        <v>44691</v>
      </c>
      <c r="C7" s="27">
        <v>60000</v>
      </c>
      <c r="D7" s="4" t="s">
        <v>3</v>
      </c>
      <c r="E7" s="24">
        <f>IF(D7="Credit",E6+C7,E6-C7)</f>
        <v>61374</v>
      </c>
      <c r="G7" s="14">
        <v>44743</v>
      </c>
      <c r="H7" s="15">
        <f>Monthly_Data!F6</f>
        <v>71374</v>
      </c>
      <c r="K7" s="19">
        <v>44743</v>
      </c>
      <c r="L7" s="20">
        <v>71374</v>
      </c>
    </row>
    <row r="8" spans="2:12" x14ac:dyDescent="0.25">
      <c r="B8" s="5">
        <v>44693</v>
      </c>
      <c r="C8" s="25">
        <v>10000</v>
      </c>
      <c r="D8" s="1" t="s">
        <v>3</v>
      </c>
      <c r="E8" s="25">
        <f t="shared" ref="E8:E11" si="0">IF(D8="Credit",E7+C8,E7-C8)</f>
        <v>71374</v>
      </c>
      <c r="G8" s="14">
        <v>44774</v>
      </c>
      <c r="H8" s="15">
        <f>Monthly_Data!F7</f>
        <v>51374</v>
      </c>
      <c r="K8" s="19">
        <v>44774</v>
      </c>
      <c r="L8" s="20">
        <v>51374</v>
      </c>
    </row>
    <row r="9" spans="2:12" x14ac:dyDescent="0.25">
      <c r="B9" s="6">
        <v>44792</v>
      </c>
      <c r="C9" s="27">
        <v>20000</v>
      </c>
      <c r="D9" s="4" t="s">
        <v>2</v>
      </c>
      <c r="E9" s="24">
        <f t="shared" si="0"/>
        <v>51374</v>
      </c>
      <c r="G9" s="14">
        <v>44805</v>
      </c>
      <c r="H9" s="15">
        <f>Monthly_Data!F8</f>
        <v>51374</v>
      </c>
      <c r="K9" s="19">
        <v>44805</v>
      </c>
      <c r="L9" s="20">
        <v>51374</v>
      </c>
    </row>
    <row r="10" spans="2:12" x14ac:dyDescent="0.25">
      <c r="B10" s="5">
        <v>44824</v>
      </c>
      <c r="C10" s="25">
        <v>60000</v>
      </c>
      <c r="D10" s="1" t="s">
        <v>3</v>
      </c>
      <c r="E10" s="25">
        <f t="shared" si="0"/>
        <v>111374</v>
      </c>
      <c r="G10" s="14">
        <v>44835</v>
      </c>
      <c r="H10" s="15">
        <f>Monthly_Data!F9</f>
        <v>111374</v>
      </c>
      <c r="K10" s="19">
        <v>44835</v>
      </c>
      <c r="L10" s="20">
        <v>111374</v>
      </c>
    </row>
    <row r="11" spans="2:12" x14ac:dyDescent="0.25">
      <c r="B11" s="7">
        <v>44914</v>
      </c>
      <c r="C11" s="28">
        <v>31000</v>
      </c>
      <c r="D11" s="8" t="s">
        <v>2</v>
      </c>
      <c r="E11" s="26">
        <f t="shared" si="0"/>
        <v>80374</v>
      </c>
      <c r="G11" s="14">
        <v>44866</v>
      </c>
      <c r="H11" s="15">
        <f>Monthly_Data!F10</f>
        <v>111374</v>
      </c>
      <c r="K11" s="19">
        <v>44866</v>
      </c>
      <c r="L11" s="20">
        <v>111374</v>
      </c>
    </row>
    <row r="12" spans="2:12" x14ac:dyDescent="0.25">
      <c r="G12" s="14">
        <v>44896</v>
      </c>
      <c r="H12" s="15">
        <f>Monthly_Data!F11</f>
        <v>80374</v>
      </c>
      <c r="K12" s="19">
        <v>44896</v>
      </c>
      <c r="L12" s="20">
        <v>80374</v>
      </c>
    </row>
    <row r="13" spans="2:12" x14ac:dyDescent="0.25">
      <c r="G13" s="14">
        <v>44927</v>
      </c>
      <c r="H13" s="15">
        <f>Monthly_Data!F12</f>
        <v>80374</v>
      </c>
      <c r="K13" s="19">
        <v>44927</v>
      </c>
      <c r="L13" s="20">
        <v>80374</v>
      </c>
    </row>
    <row r="14" spans="2:12" x14ac:dyDescent="0.25">
      <c r="G14" s="14">
        <v>44958</v>
      </c>
      <c r="H14" s="15">
        <f>Monthly_Data!F13</f>
        <v>80374</v>
      </c>
      <c r="K14" s="19">
        <v>44958</v>
      </c>
      <c r="L14" s="20">
        <v>80374</v>
      </c>
    </row>
    <row r="15" spans="2:12" x14ac:dyDescent="0.25">
      <c r="G15" s="14">
        <v>44986</v>
      </c>
      <c r="H15" s="15">
        <f>Monthly_Data!F14</f>
        <v>80374</v>
      </c>
      <c r="K15" s="19">
        <v>44986</v>
      </c>
      <c r="L15" s="20">
        <v>80374</v>
      </c>
    </row>
    <row r="16" spans="2:12" ht="15.75" x14ac:dyDescent="0.25">
      <c r="G16" s="16" t="s">
        <v>6</v>
      </c>
      <c r="H16" s="15">
        <f>SUM(H4:H15)</f>
        <v>852488</v>
      </c>
      <c r="K16" s="21" t="s">
        <v>6</v>
      </c>
      <c r="L16" s="22">
        <f>SUBTOTAL(109,L4:L15)</f>
        <v>852488</v>
      </c>
    </row>
    <row r="18" spans="7:12" x14ac:dyDescent="0.25">
      <c r="G18" s="13" t="s">
        <v>10</v>
      </c>
      <c r="H18" s="12">
        <f>ROUNDUP((H16*4)/(12*100),0)</f>
        <v>2842</v>
      </c>
      <c r="K18" s="13" t="s">
        <v>10</v>
      </c>
      <c r="L18" s="12">
        <f>ROUNDUP((L16*4)/(12*100),0)</f>
        <v>2842</v>
      </c>
    </row>
  </sheetData>
  <mergeCells count="2">
    <mergeCell ref="K1:L1"/>
    <mergeCell ref="G1:H1"/>
  </mergeCells>
  <pageMargins left="0.7" right="0.7" top="0.75" bottom="0.75" header="0.3" footer="0.3"/>
  <ignoredErrors>
    <ignoredError sqref="E6 H16" calculatedColumn="1"/>
  </ignoredErrors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D38B4-0D31-4D62-86DC-51A31A48A359}">
  <dimension ref="B2:F368"/>
  <sheetViews>
    <sheetView showGridLines="0" workbookViewId="0">
      <selection activeCell="C3" sqref="C3"/>
    </sheetView>
  </sheetViews>
  <sheetFormatPr defaultRowHeight="15" x14ac:dyDescent="0.25"/>
  <cols>
    <col min="2" max="2" width="12.140625" bestFit="1" customWidth="1"/>
    <col min="3" max="3" width="13.5703125" customWidth="1"/>
    <col min="5" max="5" width="10.85546875" bestFit="1" customWidth="1"/>
    <col min="6" max="6" width="10.42578125" customWidth="1"/>
  </cols>
  <sheetData>
    <row r="2" spans="2:6" ht="30" x14ac:dyDescent="0.25">
      <c r="B2" s="31" t="s">
        <v>13</v>
      </c>
      <c r="C2" s="31" t="s">
        <v>14</v>
      </c>
      <c r="E2" s="32" t="s">
        <v>11</v>
      </c>
      <c r="F2" s="33" t="s">
        <v>5</v>
      </c>
    </row>
    <row r="3" spans="2:6" ht="15" customHeight="1" x14ac:dyDescent="0.25">
      <c r="B3" s="30">
        <v>44651</v>
      </c>
      <c r="C3" s="1">
        <v>1374</v>
      </c>
      <c r="E3" s="29">
        <v>44652</v>
      </c>
      <c r="F3" s="1">
        <f>_xlfn.MINIFS($C$4:$C$368,$B$4:$B$368,"&gt;="&amp;DATE(YEAR(E3),MONTH(E3),11),$B$4:$B$368,"&lt;="&amp;DATE(YEAR(E3),MONTH(E3),DAY(EOMONTH(E3,0))))</f>
        <v>1374</v>
      </c>
    </row>
    <row r="4" spans="2:6" x14ac:dyDescent="0.25">
      <c r="B4" s="30">
        <v>44652</v>
      </c>
      <c r="C4" s="1">
        <f>_xlfn.IFNA(_xlfn.XLOOKUP(B4,Data_22_23[Date],Data_22_23[Balance],NA(),0,-1),Monthly_Data!C3)</f>
        <v>1374</v>
      </c>
      <c r="E4" s="29">
        <v>44682</v>
      </c>
      <c r="F4" s="1">
        <f t="shared" ref="F4:F13" si="0">_xlfn.MINIFS($C$4:$C$368,$B$4:$B$368,"&gt;="&amp;DATE(YEAR(E4),MONTH(E4),11),$B$4:$B$368,"&lt;="&amp;DATE(YEAR(E4),MONTH(E4),DAY(EOMONTH(E4,0))))</f>
        <v>61374</v>
      </c>
    </row>
    <row r="5" spans="2:6" x14ac:dyDescent="0.25">
      <c r="B5" s="30">
        <v>44653</v>
      </c>
      <c r="C5" s="1">
        <f>_xlfn.IFNA(_xlfn.XLOOKUP(B5,Data_22_23[Date],Data_22_23[Balance],NA(),0,-1),Monthly_Data!C4)</f>
        <v>1374</v>
      </c>
      <c r="E5" s="29">
        <v>44713</v>
      </c>
      <c r="F5" s="1">
        <f t="shared" si="0"/>
        <v>71374</v>
      </c>
    </row>
    <row r="6" spans="2:6" x14ac:dyDescent="0.25">
      <c r="B6" s="30">
        <v>44654</v>
      </c>
      <c r="C6" s="1">
        <f>_xlfn.IFNA(_xlfn.XLOOKUP(B6,Data_22_23[Date],Data_22_23[Balance],NA(),0,-1),Monthly_Data!C5)</f>
        <v>1374</v>
      </c>
      <c r="E6" s="29">
        <v>44743</v>
      </c>
      <c r="F6" s="1">
        <f t="shared" si="0"/>
        <v>71374</v>
      </c>
    </row>
    <row r="7" spans="2:6" x14ac:dyDescent="0.25">
      <c r="B7" s="30">
        <v>44655</v>
      </c>
      <c r="C7" s="1">
        <f>_xlfn.IFNA(_xlfn.XLOOKUP(B7,Data_22_23[Date],Data_22_23[Balance],NA(),0,-1),Monthly_Data!C6)</f>
        <v>1374</v>
      </c>
      <c r="E7" s="29">
        <v>44774</v>
      </c>
      <c r="F7" s="1">
        <f t="shared" si="0"/>
        <v>51374</v>
      </c>
    </row>
    <row r="8" spans="2:6" x14ac:dyDescent="0.25">
      <c r="B8" s="30">
        <v>44656</v>
      </c>
      <c r="C8" s="1">
        <f>_xlfn.IFNA(_xlfn.XLOOKUP(B8,Data_22_23[Date],Data_22_23[Balance],NA(),0,-1),Monthly_Data!C7)</f>
        <v>1374</v>
      </c>
      <c r="E8" s="29">
        <v>44805</v>
      </c>
      <c r="F8" s="1">
        <f t="shared" si="0"/>
        <v>51374</v>
      </c>
    </row>
    <row r="9" spans="2:6" x14ac:dyDescent="0.25">
      <c r="B9" s="30">
        <v>44657</v>
      </c>
      <c r="C9" s="1">
        <f>_xlfn.IFNA(_xlfn.XLOOKUP(B9,Data_22_23[Date],Data_22_23[Balance],NA(),0,-1),Monthly_Data!C8)</f>
        <v>1374</v>
      </c>
      <c r="E9" s="29">
        <v>44835</v>
      </c>
      <c r="F9" s="1">
        <f t="shared" si="0"/>
        <v>111374</v>
      </c>
    </row>
    <row r="10" spans="2:6" x14ac:dyDescent="0.25">
      <c r="B10" s="30">
        <v>44658</v>
      </c>
      <c r="C10" s="1">
        <f>_xlfn.IFNA(_xlfn.XLOOKUP(B10,Data_22_23[Date],Data_22_23[Balance],NA(),0,-1),Monthly_Data!C9)</f>
        <v>1374</v>
      </c>
      <c r="E10" s="29">
        <v>44866</v>
      </c>
      <c r="F10" s="1">
        <f t="shared" si="0"/>
        <v>111374</v>
      </c>
    </row>
    <row r="11" spans="2:6" x14ac:dyDescent="0.25">
      <c r="B11" s="30">
        <v>44659</v>
      </c>
      <c r="C11" s="1">
        <f>_xlfn.IFNA(_xlfn.XLOOKUP(B11,Data_22_23[Date],Data_22_23[Balance],NA(),0,-1),Monthly_Data!C10)</f>
        <v>1374</v>
      </c>
      <c r="E11" s="29">
        <v>44896</v>
      </c>
      <c r="F11" s="1">
        <f t="shared" si="0"/>
        <v>80374</v>
      </c>
    </row>
    <row r="12" spans="2:6" x14ac:dyDescent="0.25">
      <c r="B12" s="30">
        <v>44660</v>
      </c>
      <c r="C12" s="1">
        <f>_xlfn.IFNA(_xlfn.XLOOKUP(B12,Data_22_23[Date],Data_22_23[Balance],NA(),0,-1),Monthly_Data!C11)</f>
        <v>1374</v>
      </c>
      <c r="E12" s="29">
        <v>44927</v>
      </c>
      <c r="F12" s="1">
        <f t="shared" si="0"/>
        <v>80374</v>
      </c>
    </row>
    <row r="13" spans="2:6" x14ac:dyDescent="0.25">
      <c r="B13" s="30">
        <v>44661</v>
      </c>
      <c r="C13" s="1">
        <f>_xlfn.IFNA(_xlfn.XLOOKUP(B13,Data_22_23[Date],Data_22_23[Balance],NA(),0,-1),Monthly_Data!C12)</f>
        <v>1374</v>
      </c>
      <c r="E13" s="29">
        <v>44958</v>
      </c>
      <c r="F13" s="1">
        <f t="shared" si="0"/>
        <v>80374</v>
      </c>
    </row>
    <row r="14" spans="2:6" x14ac:dyDescent="0.25">
      <c r="B14" s="30">
        <v>44662</v>
      </c>
      <c r="C14" s="1">
        <f>_xlfn.IFNA(_xlfn.XLOOKUP(B14,Data_22_23[Date],Data_22_23[Balance],NA(),0,-1),Monthly_Data!C13)</f>
        <v>1374</v>
      </c>
      <c r="E14" s="29">
        <v>44986</v>
      </c>
      <c r="F14" s="1">
        <f>_xlfn.MINIFS($C$4:$C$368,$B$4:$B$368,"&gt;="&amp;DATE(YEAR(E14),MONTH(E14),11),$B$4:$B$368,"&lt;="&amp;DATE(YEAR(E14),MONTH(E14),DAY(EOMONTH(E14,0))))</f>
        <v>80374</v>
      </c>
    </row>
    <row r="15" spans="2:6" x14ac:dyDescent="0.25">
      <c r="B15" s="30">
        <v>44663</v>
      </c>
      <c r="C15" s="1">
        <f>_xlfn.IFNA(_xlfn.XLOOKUP(B15,Data_22_23[Date],Data_22_23[Balance],NA(),0,-1),Monthly_Data!C14)</f>
        <v>1374</v>
      </c>
    </row>
    <row r="16" spans="2:6" x14ac:dyDescent="0.25">
      <c r="B16" s="30">
        <v>44664</v>
      </c>
      <c r="C16" s="1">
        <f>_xlfn.IFNA(_xlfn.XLOOKUP(B16,Data_22_23[Date],Data_22_23[Balance],NA(),0,-1),Monthly_Data!C15)</f>
        <v>1374</v>
      </c>
    </row>
    <row r="17" spans="2:3" x14ac:dyDescent="0.25">
      <c r="B17" s="30">
        <v>44665</v>
      </c>
      <c r="C17" s="1">
        <f>_xlfn.IFNA(_xlfn.XLOOKUP(B17,Data_22_23[Date],Data_22_23[Balance],NA(),0,-1),Monthly_Data!C16)</f>
        <v>1374</v>
      </c>
    </row>
    <row r="18" spans="2:3" x14ac:dyDescent="0.25">
      <c r="B18" s="30">
        <v>44666</v>
      </c>
      <c r="C18" s="1">
        <f>_xlfn.IFNA(_xlfn.XLOOKUP(B18,Data_22_23[Date],Data_22_23[Balance],NA(),0,-1),Monthly_Data!C17)</f>
        <v>1374</v>
      </c>
    </row>
    <row r="19" spans="2:3" x14ac:dyDescent="0.25">
      <c r="B19" s="30">
        <v>44667</v>
      </c>
      <c r="C19" s="1">
        <f>_xlfn.IFNA(_xlfn.XLOOKUP(B19,Data_22_23[Date],Data_22_23[Balance],NA(),0,-1),Monthly_Data!C18)</f>
        <v>1374</v>
      </c>
    </row>
    <row r="20" spans="2:3" x14ac:dyDescent="0.25">
      <c r="B20" s="30">
        <v>44668</v>
      </c>
      <c r="C20" s="1">
        <f>_xlfn.IFNA(_xlfn.XLOOKUP(B20,Data_22_23[Date],Data_22_23[Balance],NA(),0,-1),Monthly_Data!C19)</f>
        <v>1374</v>
      </c>
    </row>
    <row r="21" spans="2:3" x14ac:dyDescent="0.25">
      <c r="B21" s="30">
        <v>44669</v>
      </c>
      <c r="C21" s="1">
        <f>_xlfn.IFNA(_xlfn.XLOOKUP(B21,Data_22_23[Date],Data_22_23[Balance],NA(),0,-1),Monthly_Data!C20)</f>
        <v>1374</v>
      </c>
    </row>
    <row r="22" spans="2:3" x14ac:dyDescent="0.25">
      <c r="B22" s="30">
        <v>44670</v>
      </c>
      <c r="C22" s="1">
        <f>_xlfn.IFNA(_xlfn.XLOOKUP(B22,Data_22_23[Date],Data_22_23[Balance],NA(),0,-1),Monthly_Data!C21)</f>
        <v>1374</v>
      </c>
    </row>
    <row r="23" spans="2:3" x14ac:dyDescent="0.25">
      <c r="B23" s="30">
        <v>44671</v>
      </c>
      <c r="C23" s="1">
        <f>_xlfn.IFNA(_xlfn.XLOOKUP(B23,Data_22_23[Date],Data_22_23[Balance],NA(),0,-1),Monthly_Data!C22)</f>
        <v>1374</v>
      </c>
    </row>
    <row r="24" spans="2:3" x14ac:dyDescent="0.25">
      <c r="B24" s="30">
        <v>44672</v>
      </c>
      <c r="C24" s="1">
        <f>_xlfn.IFNA(_xlfn.XLOOKUP(B24,Data_22_23[Date],Data_22_23[Balance],NA(),0,-1),Monthly_Data!C23)</f>
        <v>1374</v>
      </c>
    </row>
    <row r="25" spans="2:3" x14ac:dyDescent="0.25">
      <c r="B25" s="30">
        <v>44673</v>
      </c>
      <c r="C25" s="1">
        <f>_xlfn.IFNA(_xlfn.XLOOKUP(B25,Data_22_23[Date],Data_22_23[Balance],NA(),0,-1),Monthly_Data!C24)</f>
        <v>1374</v>
      </c>
    </row>
    <row r="26" spans="2:3" x14ac:dyDescent="0.25">
      <c r="B26" s="30">
        <v>44674</v>
      </c>
      <c r="C26" s="1">
        <f>_xlfn.IFNA(_xlfn.XLOOKUP(B26,Data_22_23[Date],Data_22_23[Balance],NA(),0,-1),Monthly_Data!C25)</f>
        <v>1374</v>
      </c>
    </row>
    <row r="27" spans="2:3" x14ac:dyDescent="0.25">
      <c r="B27" s="30">
        <v>44675</v>
      </c>
      <c r="C27" s="1">
        <f>_xlfn.IFNA(_xlfn.XLOOKUP(B27,Data_22_23[Date],Data_22_23[Balance],NA(),0,-1),Monthly_Data!C26)</f>
        <v>1374</v>
      </c>
    </row>
    <row r="28" spans="2:3" x14ac:dyDescent="0.25">
      <c r="B28" s="30">
        <v>44676</v>
      </c>
      <c r="C28" s="1">
        <f>_xlfn.IFNA(_xlfn.XLOOKUP(B28,Data_22_23[Date],Data_22_23[Balance],NA(),0,-1),Monthly_Data!C27)</f>
        <v>1374</v>
      </c>
    </row>
    <row r="29" spans="2:3" x14ac:dyDescent="0.25">
      <c r="B29" s="30">
        <v>44677</v>
      </c>
      <c r="C29" s="1">
        <f>_xlfn.IFNA(_xlfn.XLOOKUP(B29,Data_22_23[Date],Data_22_23[Balance],NA(),0,-1),Monthly_Data!C28)</f>
        <v>1374</v>
      </c>
    </row>
    <row r="30" spans="2:3" x14ac:dyDescent="0.25">
      <c r="B30" s="30">
        <v>44678</v>
      </c>
      <c r="C30" s="1">
        <f>_xlfn.IFNA(_xlfn.XLOOKUP(B30,Data_22_23[Date],Data_22_23[Balance],NA(),0,-1),Monthly_Data!C29)</f>
        <v>1374</v>
      </c>
    </row>
    <row r="31" spans="2:3" x14ac:dyDescent="0.25">
      <c r="B31" s="30">
        <v>44679</v>
      </c>
      <c r="C31" s="1">
        <f>_xlfn.IFNA(_xlfn.XLOOKUP(B31,Data_22_23[Date],Data_22_23[Balance],NA(),0,-1),Monthly_Data!C30)</f>
        <v>1374</v>
      </c>
    </row>
    <row r="32" spans="2:3" x14ac:dyDescent="0.25">
      <c r="B32" s="30">
        <v>44680</v>
      </c>
      <c r="C32" s="1">
        <f>_xlfn.IFNA(_xlfn.XLOOKUP(B32,Data_22_23[Date],Data_22_23[Balance],NA(),0,-1),Monthly_Data!C31)</f>
        <v>1374</v>
      </c>
    </row>
    <row r="33" spans="2:3" x14ac:dyDescent="0.25">
      <c r="B33" s="30">
        <v>44681</v>
      </c>
      <c r="C33" s="1">
        <f>_xlfn.IFNA(_xlfn.XLOOKUP(B33,Data_22_23[Date],Data_22_23[Balance],NA(),0,-1),Monthly_Data!C32)</f>
        <v>1374</v>
      </c>
    </row>
    <row r="34" spans="2:3" x14ac:dyDescent="0.25">
      <c r="B34" s="30">
        <v>44682</v>
      </c>
      <c r="C34" s="1">
        <f>_xlfn.IFNA(_xlfn.XLOOKUP(B34,Data_22_23[Date],Data_22_23[Balance],NA(),0,-1),Monthly_Data!C33)</f>
        <v>1374</v>
      </c>
    </row>
    <row r="35" spans="2:3" x14ac:dyDescent="0.25">
      <c r="B35" s="30">
        <v>44683</v>
      </c>
      <c r="C35" s="1">
        <f>_xlfn.IFNA(_xlfn.XLOOKUP(B35,Data_22_23[Date],Data_22_23[Balance],NA(),0,-1),Monthly_Data!C34)</f>
        <v>1374</v>
      </c>
    </row>
    <row r="36" spans="2:3" x14ac:dyDescent="0.25">
      <c r="B36" s="30">
        <v>44684</v>
      </c>
      <c r="C36" s="1">
        <f>_xlfn.IFNA(_xlfn.XLOOKUP(B36,Data_22_23[Date],Data_22_23[Balance],NA(),0,-1),Monthly_Data!C35)</f>
        <v>1374</v>
      </c>
    </row>
    <row r="37" spans="2:3" x14ac:dyDescent="0.25">
      <c r="B37" s="30">
        <v>44685</v>
      </c>
      <c r="C37" s="1">
        <f>_xlfn.IFNA(_xlfn.XLOOKUP(B37,Data_22_23[Date],Data_22_23[Balance],NA(),0,-1),Monthly_Data!C36)</f>
        <v>1374</v>
      </c>
    </row>
    <row r="38" spans="2:3" x14ac:dyDescent="0.25">
      <c r="B38" s="30">
        <v>44686</v>
      </c>
      <c r="C38" s="1">
        <f>_xlfn.IFNA(_xlfn.XLOOKUP(B38,Data_22_23[Date],Data_22_23[Balance],NA(),0,-1),Monthly_Data!C37)</f>
        <v>1374</v>
      </c>
    </row>
    <row r="39" spans="2:3" x14ac:dyDescent="0.25">
      <c r="B39" s="30">
        <v>44687</v>
      </c>
      <c r="C39" s="1">
        <f>_xlfn.IFNA(_xlfn.XLOOKUP(B39,Data_22_23[Date],Data_22_23[Balance],NA(),0,-1),Monthly_Data!C38)</f>
        <v>1374</v>
      </c>
    </row>
    <row r="40" spans="2:3" x14ac:dyDescent="0.25">
      <c r="B40" s="30">
        <v>44688</v>
      </c>
      <c r="C40" s="1">
        <f>_xlfn.IFNA(_xlfn.XLOOKUP(B40,Data_22_23[Date],Data_22_23[Balance],NA(),0,-1),Monthly_Data!C39)</f>
        <v>1374</v>
      </c>
    </row>
    <row r="41" spans="2:3" x14ac:dyDescent="0.25">
      <c r="B41" s="30">
        <v>44689</v>
      </c>
      <c r="C41" s="1">
        <f>_xlfn.IFNA(_xlfn.XLOOKUP(B41,Data_22_23[Date],Data_22_23[Balance],NA(),0,-1),Monthly_Data!C40)</f>
        <v>1374</v>
      </c>
    </row>
    <row r="42" spans="2:3" x14ac:dyDescent="0.25">
      <c r="B42" s="30">
        <v>44690</v>
      </c>
      <c r="C42" s="1">
        <f>_xlfn.IFNA(_xlfn.XLOOKUP(B42,Data_22_23[Date],Data_22_23[Balance],NA(),0,-1),Monthly_Data!C41)</f>
        <v>1374</v>
      </c>
    </row>
    <row r="43" spans="2:3" x14ac:dyDescent="0.25">
      <c r="B43" s="30">
        <v>44691</v>
      </c>
      <c r="C43" s="1">
        <f>_xlfn.IFNA(_xlfn.XLOOKUP(B43,Data_22_23[Date],Data_22_23[Balance],NA(),0,-1),Monthly_Data!C42)</f>
        <v>61374</v>
      </c>
    </row>
    <row r="44" spans="2:3" x14ac:dyDescent="0.25">
      <c r="B44" s="30">
        <v>44692</v>
      </c>
      <c r="C44" s="1">
        <f>_xlfn.IFNA(_xlfn.XLOOKUP(B44,Data_22_23[Date],Data_22_23[Balance],NA(),0,-1),Monthly_Data!C43)</f>
        <v>61374</v>
      </c>
    </row>
    <row r="45" spans="2:3" x14ac:dyDescent="0.25">
      <c r="B45" s="30">
        <v>44693</v>
      </c>
      <c r="C45" s="1">
        <f>_xlfn.IFNA(_xlfn.XLOOKUP(B45,Data_22_23[Date],Data_22_23[Balance],NA(),0,-1),Monthly_Data!C44)</f>
        <v>71374</v>
      </c>
    </row>
    <row r="46" spans="2:3" x14ac:dyDescent="0.25">
      <c r="B46" s="30">
        <v>44694</v>
      </c>
      <c r="C46" s="1">
        <f>_xlfn.IFNA(_xlfn.XLOOKUP(B46,Data_22_23[Date],Data_22_23[Balance],NA(),0,-1),Monthly_Data!C45)</f>
        <v>71374</v>
      </c>
    </row>
    <row r="47" spans="2:3" x14ac:dyDescent="0.25">
      <c r="B47" s="30">
        <v>44695</v>
      </c>
      <c r="C47" s="1">
        <f>_xlfn.IFNA(_xlfn.XLOOKUP(B47,Data_22_23[Date],Data_22_23[Balance],NA(),0,-1),Monthly_Data!C46)</f>
        <v>71374</v>
      </c>
    </row>
    <row r="48" spans="2:3" x14ac:dyDescent="0.25">
      <c r="B48" s="30">
        <v>44696</v>
      </c>
      <c r="C48" s="1">
        <f>_xlfn.IFNA(_xlfn.XLOOKUP(B48,Data_22_23[Date],Data_22_23[Balance],NA(),0,-1),Monthly_Data!C47)</f>
        <v>71374</v>
      </c>
    </row>
    <row r="49" spans="2:3" x14ac:dyDescent="0.25">
      <c r="B49" s="30">
        <v>44697</v>
      </c>
      <c r="C49" s="1">
        <f>_xlfn.IFNA(_xlfn.XLOOKUP(B49,Data_22_23[Date],Data_22_23[Balance],NA(),0,-1),Monthly_Data!C48)</f>
        <v>71374</v>
      </c>
    </row>
    <row r="50" spans="2:3" x14ac:dyDescent="0.25">
      <c r="B50" s="30">
        <v>44698</v>
      </c>
      <c r="C50" s="1">
        <f>_xlfn.IFNA(_xlfn.XLOOKUP(B50,Data_22_23[Date],Data_22_23[Balance],NA(),0,-1),Monthly_Data!C49)</f>
        <v>71374</v>
      </c>
    </row>
    <row r="51" spans="2:3" x14ac:dyDescent="0.25">
      <c r="B51" s="30">
        <v>44699</v>
      </c>
      <c r="C51" s="1">
        <f>_xlfn.IFNA(_xlfn.XLOOKUP(B51,Data_22_23[Date],Data_22_23[Balance],NA(),0,-1),Monthly_Data!C50)</f>
        <v>71374</v>
      </c>
    </row>
    <row r="52" spans="2:3" x14ac:dyDescent="0.25">
      <c r="B52" s="30">
        <v>44700</v>
      </c>
      <c r="C52" s="1">
        <f>_xlfn.IFNA(_xlfn.XLOOKUP(B52,Data_22_23[Date],Data_22_23[Balance],NA(),0,-1),Monthly_Data!C51)</f>
        <v>71374</v>
      </c>
    </row>
    <row r="53" spans="2:3" x14ac:dyDescent="0.25">
      <c r="B53" s="30">
        <v>44701</v>
      </c>
      <c r="C53" s="1">
        <f>_xlfn.IFNA(_xlfn.XLOOKUP(B53,Data_22_23[Date],Data_22_23[Balance],NA(),0,-1),Monthly_Data!C52)</f>
        <v>71374</v>
      </c>
    </row>
    <row r="54" spans="2:3" x14ac:dyDescent="0.25">
      <c r="B54" s="30">
        <v>44702</v>
      </c>
      <c r="C54" s="1">
        <f>_xlfn.IFNA(_xlfn.XLOOKUP(B54,Data_22_23[Date],Data_22_23[Balance],NA(),0,-1),Monthly_Data!C53)</f>
        <v>71374</v>
      </c>
    </row>
    <row r="55" spans="2:3" x14ac:dyDescent="0.25">
      <c r="B55" s="30">
        <v>44703</v>
      </c>
      <c r="C55" s="1">
        <f>_xlfn.IFNA(_xlfn.XLOOKUP(B55,Data_22_23[Date],Data_22_23[Balance],NA(),0,-1),Monthly_Data!C54)</f>
        <v>71374</v>
      </c>
    </row>
    <row r="56" spans="2:3" x14ac:dyDescent="0.25">
      <c r="B56" s="30">
        <v>44704</v>
      </c>
      <c r="C56" s="1">
        <f>_xlfn.IFNA(_xlfn.XLOOKUP(B56,Data_22_23[Date],Data_22_23[Balance],NA(),0,-1),Monthly_Data!C55)</f>
        <v>71374</v>
      </c>
    </row>
    <row r="57" spans="2:3" x14ac:dyDescent="0.25">
      <c r="B57" s="30">
        <v>44705</v>
      </c>
      <c r="C57" s="1">
        <f>_xlfn.IFNA(_xlfn.XLOOKUP(B57,Data_22_23[Date],Data_22_23[Balance],NA(),0,-1),Monthly_Data!C56)</f>
        <v>71374</v>
      </c>
    </row>
    <row r="58" spans="2:3" x14ac:dyDescent="0.25">
      <c r="B58" s="30">
        <v>44706</v>
      </c>
      <c r="C58" s="1">
        <f>_xlfn.IFNA(_xlfn.XLOOKUP(B58,Data_22_23[Date],Data_22_23[Balance],NA(),0,-1),Monthly_Data!C57)</f>
        <v>71374</v>
      </c>
    </row>
    <row r="59" spans="2:3" x14ac:dyDescent="0.25">
      <c r="B59" s="30">
        <v>44707</v>
      </c>
      <c r="C59" s="1">
        <f>_xlfn.IFNA(_xlfn.XLOOKUP(B59,Data_22_23[Date],Data_22_23[Balance],NA(),0,-1),Monthly_Data!C58)</f>
        <v>71374</v>
      </c>
    </row>
    <row r="60" spans="2:3" x14ac:dyDescent="0.25">
      <c r="B60" s="30">
        <v>44708</v>
      </c>
      <c r="C60" s="1">
        <f>_xlfn.IFNA(_xlfn.XLOOKUP(B60,Data_22_23[Date],Data_22_23[Balance],NA(),0,-1),Monthly_Data!C59)</f>
        <v>71374</v>
      </c>
    </row>
    <row r="61" spans="2:3" x14ac:dyDescent="0.25">
      <c r="B61" s="30">
        <v>44709</v>
      </c>
      <c r="C61" s="1">
        <f>_xlfn.IFNA(_xlfn.XLOOKUP(B61,Data_22_23[Date],Data_22_23[Balance],NA(),0,-1),Monthly_Data!C60)</f>
        <v>71374</v>
      </c>
    </row>
    <row r="62" spans="2:3" x14ac:dyDescent="0.25">
      <c r="B62" s="30">
        <v>44710</v>
      </c>
      <c r="C62" s="1">
        <f>_xlfn.IFNA(_xlfn.XLOOKUP(B62,Data_22_23[Date],Data_22_23[Balance],NA(),0,-1),Monthly_Data!C61)</f>
        <v>71374</v>
      </c>
    </row>
    <row r="63" spans="2:3" x14ac:dyDescent="0.25">
      <c r="B63" s="30">
        <v>44711</v>
      </c>
      <c r="C63" s="1">
        <f>_xlfn.IFNA(_xlfn.XLOOKUP(B63,Data_22_23[Date],Data_22_23[Balance],NA(),0,-1),Monthly_Data!C62)</f>
        <v>71374</v>
      </c>
    </row>
    <row r="64" spans="2:3" x14ac:dyDescent="0.25">
      <c r="B64" s="30">
        <v>44712</v>
      </c>
      <c r="C64" s="1">
        <f>_xlfn.IFNA(_xlfn.XLOOKUP(B64,Data_22_23[Date],Data_22_23[Balance],NA(),0,-1),Monthly_Data!C63)</f>
        <v>71374</v>
      </c>
    </row>
    <row r="65" spans="2:3" x14ac:dyDescent="0.25">
      <c r="B65" s="30">
        <v>44713</v>
      </c>
      <c r="C65" s="1">
        <f>_xlfn.IFNA(_xlfn.XLOOKUP(B65,Data_22_23[Date],Data_22_23[Balance],NA(),0,-1),Monthly_Data!C64)</f>
        <v>71374</v>
      </c>
    </row>
    <row r="66" spans="2:3" x14ac:dyDescent="0.25">
      <c r="B66" s="30">
        <v>44714</v>
      </c>
      <c r="C66" s="1">
        <f>_xlfn.IFNA(_xlfn.XLOOKUP(B66,Data_22_23[Date],Data_22_23[Balance],NA(),0,-1),Monthly_Data!C65)</f>
        <v>71374</v>
      </c>
    </row>
    <row r="67" spans="2:3" x14ac:dyDescent="0.25">
      <c r="B67" s="30">
        <v>44715</v>
      </c>
      <c r="C67" s="1">
        <f>_xlfn.IFNA(_xlfn.XLOOKUP(B67,Data_22_23[Date],Data_22_23[Balance],NA(),0,-1),Monthly_Data!C66)</f>
        <v>71374</v>
      </c>
    </row>
    <row r="68" spans="2:3" x14ac:dyDescent="0.25">
      <c r="B68" s="30">
        <v>44716</v>
      </c>
      <c r="C68" s="1">
        <f>_xlfn.IFNA(_xlfn.XLOOKUP(B68,Data_22_23[Date],Data_22_23[Balance],NA(),0,-1),Monthly_Data!C67)</f>
        <v>71374</v>
      </c>
    </row>
    <row r="69" spans="2:3" x14ac:dyDescent="0.25">
      <c r="B69" s="30">
        <v>44717</v>
      </c>
      <c r="C69" s="1">
        <f>_xlfn.IFNA(_xlfn.XLOOKUP(B69,Data_22_23[Date],Data_22_23[Balance],NA(),0,-1),Monthly_Data!C68)</f>
        <v>71374</v>
      </c>
    </row>
    <row r="70" spans="2:3" x14ac:dyDescent="0.25">
      <c r="B70" s="30">
        <v>44718</v>
      </c>
      <c r="C70" s="1">
        <f>_xlfn.IFNA(_xlfn.XLOOKUP(B70,Data_22_23[Date],Data_22_23[Balance],NA(),0,-1),Monthly_Data!C69)</f>
        <v>71374</v>
      </c>
    </row>
    <row r="71" spans="2:3" x14ac:dyDescent="0.25">
      <c r="B71" s="30">
        <v>44719</v>
      </c>
      <c r="C71" s="1">
        <f>_xlfn.IFNA(_xlfn.XLOOKUP(B71,Data_22_23[Date],Data_22_23[Balance],NA(),0,-1),Monthly_Data!C70)</f>
        <v>71374</v>
      </c>
    </row>
    <row r="72" spans="2:3" x14ac:dyDescent="0.25">
      <c r="B72" s="30">
        <v>44720</v>
      </c>
      <c r="C72" s="1">
        <f>_xlfn.IFNA(_xlfn.XLOOKUP(B72,Data_22_23[Date],Data_22_23[Balance],NA(),0,-1),Monthly_Data!C71)</f>
        <v>71374</v>
      </c>
    </row>
    <row r="73" spans="2:3" x14ac:dyDescent="0.25">
      <c r="B73" s="30">
        <v>44721</v>
      </c>
      <c r="C73" s="1">
        <f>_xlfn.IFNA(_xlfn.XLOOKUP(B73,Data_22_23[Date],Data_22_23[Balance],NA(),0,-1),Monthly_Data!C72)</f>
        <v>71374</v>
      </c>
    </row>
    <row r="74" spans="2:3" x14ac:dyDescent="0.25">
      <c r="B74" s="30">
        <v>44722</v>
      </c>
      <c r="C74" s="1">
        <f>_xlfn.IFNA(_xlfn.XLOOKUP(B74,Data_22_23[Date],Data_22_23[Balance],NA(),0,-1),Monthly_Data!C73)</f>
        <v>71374</v>
      </c>
    </row>
    <row r="75" spans="2:3" x14ac:dyDescent="0.25">
      <c r="B75" s="30">
        <v>44723</v>
      </c>
      <c r="C75" s="1">
        <f>_xlfn.IFNA(_xlfn.XLOOKUP(B75,Data_22_23[Date],Data_22_23[Balance],NA(),0,-1),Monthly_Data!C74)</f>
        <v>71374</v>
      </c>
    </row>
    <row r="76" spans="2:3" x14ac:dyDescent="0.25">
      <c r="B76" s="30">
        <v>44724</v>
      </c>
      <c r="C76" s="1">
        <f>_xlfn.IFNA(_xlfn.XLOOKUP(B76,Data_22_23[Date],Data_22_23[Balance],NA(),0,-1),Monthly_Data!C75)</f>
        <v>71374</v>
      </c>
    </row>
    <row r="77" spans="2:3" x14ac:dyDescent="0.25">
      <c r="B77" s="30">
        <v>44725</v>
      </c>
      <c r="C77" s="1">
        <f>_xlfn.IFNA(_xlfn.XLOOKUP(B77,Data_22_23[Date],Data_22_23[Balance],NA(),0,-1),Monthly_Data!C76)</f>
        <v>71374</v>
      </c>
    </row>
    <row r="78" spans="2:3" x14ac:dyDescent="0.25">
      <c r="B78" s="30">
        <v>44726</v>
      </c>
      <c r="C78" s="1">
        <f>_xlfn.IFNA(_xlfn.XLOOKUP(B78,Data_22_23[Date],Data_22_23[Balance],NA(),0,-1),Monthly_Data!C77)</f>
        <v>71374</v>
      </c>
    </row>
    <row r="79" spans="2:3" x14ac:dyDescent="0.25">
      <c r="B79" s="30">
        <v>44727</v>
      </c>
      <c r="C79" s="1">
        <f>_xlfn.IFNA(_xlfn.XLOOKUP(B79,Data_22_23[Date],Data_22_23[Balance],NA(),0,-1),Monthly_Data!C78)</f>
        <v>71374</v>
      </c>
    </row>
    <row r="80" spans="2:3" x14ac:dyDescent="0.25">
      <c r="B80" s="30">
        <v>44728</v>
      </c>
      <c r="C80" s="1">
        <f>_xlfn.IFNA(_xlfn.XLOOKUP(B80,Data_22_23[Date],Data_22_23[Balance],NA(),0,-1),Monthly_Data!C79)</f>
        <v>71374</v>
      </c>
    </row>
    <row r="81" spans="2:3" x14ac:dyDescent="0.25">
      <c r="B81" s="30">
        <v>44729</v>
      </c>
      <c r="C81" s="1">
        <f>_xlfn.IFNA(_xlfn.XLOOKUP(B81,Data_22_23[Date],Data_22_23[Balance],NA(),0,-1),Monthly_Data!C80)</f>
        <v>71374</v>
      </c>
    </row>
    <row r="82" spans="2:3" x14ac:dyDescent="0.25">
      <c r="B82" s="30">
        <v>44730</v>
      </c>
      <c r="C82" s="1">
        <f>_xlfn.IFNA(_xlfn.XLOOKUP(B82,Data_22_23[Date],Data_22_23[Balance],NA(),0,-1),Monthly_Data!C81)</f>
        <v>71374</v>
      </c>
    </row>
    <row r="83" spans="2:3" x14ac:dyDescent="0.25">
      <c r="B83" s="30">
        <v>44731</v>
      </c>
      <c r="C83" s="1">
        <f>_xlfn.IFNA(_xlfn.XLOOKUP(B83,Data_22_23[Date],Data_22_23[Balance],NA(),0,-1),Monthly_Data!C82)</f>
        <v>71374</v>
      </c>
    </row>
    <row r="84" spans="2:3" x14ac:dyDescent="0.25">
      <c r="B84" s="30">
        <v>44732</v>
      </c>
      <c r="C84" s="1">
        <f>_xlfn.IFNA(_xlfn.XLOOKUP(B84,Data_22_23[Date],Data_22_23[Balance],NA(),0,-1),Monthly_Data!C83)</f>
        <v>71374</v>
      </c>
    </row>
    <row r="85" spans="2:3" x14ac:dyDescent="0.25">
      <c r="B85" s="30">
        <v>44733</v>
      </c>
      <c r="C85" s="1">
        <f>_xlfn.IFNA(_xlfn.XLOOKUP(B85,Data_22_23[Date],Data_22_23[Balance],NA(),0,-1),Monthly_Data!C84)</f>
        <v>71374</v>
      </c>
    </row>
    <row r="86" spans="2:3" x14ac:dyDescent="0.25">
      <c r="B86" s="30">
        <v>44734</v>
      </c>
      <c r="C86" s="1">
        <f>_xlfn.IFNA(_xlfn.XLOOKUP(B86,Data_22_23[Date],Data_22_23[Balance],NA(),0,-1),Monthly_Data!C85)</f>
        <v>71374</v>
      </c>
    </row>
    <row r="87" spans="2:3" x14ac:dyDescent="0.25">
      <c r="B87" s="30">
        <v>44735</v>
      </c>
      <c r="C87" s="1">
        <f>_xlfn.IFNA(_xlfn.XLOOKUP(B87,Data_22_23[Date],Data_22_23[Balance],NA(),0,-1),Monthly_Data!C86)</f>
        <v>71374</v>
      </c>
    </row>
    <row r="88" spans="2:3" x14ac:dyDescent="0.25">
      <c r="B88" s="30">
        <v>44736</v>
      </c>
      <c r="C88" s="1">
        <f>_xlfn.IFNA(_xlfn.XLOOKUP(B88,Data_22_23[Date],Data_22_23[Balance],NA(),0,-1),Monthly_Data!C87)</f>
        <v>71374</v>
      </c>
    </row>
    <row r="89" spans="2:3" x14ac:dyDescent="0.25">
      <c r="B89" s="30">
        <v>44737</v>
      </c>
      <c r="C89" s="1">
        <f>_xlfn.IFNA(_xlfn.XLOOKUP(B89,Data_22_23[Date],Data_22_23[Balance],NA(),0,-1),Monthly_Data!C88)</f>
        <v>71374</v>
      </c>
    </row>
    <row r="90" spans="2:3" x14ac:dyDescent="0.25">
      <c r="B90" s="30">
        <v>44738</v>
      </c>
      <c r="C90" s="1">
        <f>_xlfn.IFNA(_xlfn.XLOOKUP(B90,Data_22_23[Date],Data_22_23[Balance],NA(),0,-1),Monthly_Data!C89)</f>
        <v>71374</v>
      </c>
    </row>
    <row r="91" spans="2:3" x14ac:dyDescent="0.25">
      <c r="B91" s="30">
        <v>44739</v>
      </c>
      <c r="C91" s="1">
        <f>_xlfn.IFNA(_xlfn.XLOOKUP(B91,Data_22_23[Date],Data_22_23[Balance],NA(),0,-1),Monthly_Data!C90)</f>
        <v>71374</v>
      </c>
    </row>
    <row r="92" spans="2:3" x14ac:dyDescent="0.25">
      <c r="B92" s="30">
        <v>44740</v>
      </c>
      <c r="C92" s="1">
        <f>_xlfn.IFNA(_xlfn.XLOOKUP(B92,Data_22_23[Date],Data_22_23[Balance],NA(),0,-1),Monthly_Data!C91)</f>
        <v>71374</v>
      </c>
    </row>
    <row r="93" spans="2:3" x14ac:dyDescent="0.25">
      <c r="B93" s="30">
        <v>44741</v>
      </c>
      <c r="C93" s="1">
        <f>_xlfn.IFNA(_xlfn.XLOOKUP(B93,Data_22_23[Date],Data_22_23[Balance],NA(),0,-1),Monthly_Data!C92)</f>
        <v>71374</v>
      </c>
    </row>
    <row r="94" spans="2:3" x14ac:dyDescent="0.25">
      <c r="B94" s="30">
        <v>44742</v>
      </c>
      <c r="C94" s="1">
        <f>_xlfn.IFNA(_xlfn.XLOOKUP(B94,Data_22_23[Date],Data_22_23[Balance],NA(),0,-1),Monthly_Data!C93)</f>
        <v>71374</v>
      </c>
    </row>
    <row r="95" spans="2:3" x14ac:dyDescent="0.25">
      <c r="B95" s="30">
        <v>44743</v>
      </c>
      <c r="C95" s="1">
        <f>_xlfn.IFNA(_xlfn.XLOOKUP(B95,Data_22_23[Date],Data_22_23[Balance],NA(),0,-1),Monthly_Data!C94)</f>
        <v>71374</v>
      </c>
    </row>
    <row r="96" spans="2:3" x14ac:dyDescent="0.25">
      <c r="B96" s="30">
        <v>44744</v>
      </c>
      <c r="C96" s="1">
        <f>_xlfn.IFNA(_xlfn.XLOOKUP(B96,Data_22_23[Date],Data_22_23[Balance],NA(),0,-1),Monthly_Data!C95)</f>
        <v>71374</v>
      </c>
    </row>
    <row r="97" spans="2:3" x14ac:dyDescent="0.25">
      <c r="B97" s="30">
        <v>44745</v>
      </c>
      <c r="C97" s="1">
        <f>_xlfn.IFNA(_xlfn.XLOOKUP(B97,Data_22_23[Date],Data_22_23[Balance],NA(),0,-1),Monthly_Data!C96)</f>
        <v>71374</v>
      </c>
    </row>
    <row r="98" spans="2:3" x14ac:dyDescent="0.25">
      <c r="B98" s="30">
        <v>44746</v>
      </c>
      <c r="C98" s="1">
        <f>_xlfn.IFNA(_xlfn.XLOOKUP(B98,Data_22_23[Date],Data_22_23[Balance],NA(),0,-1),Monthly_Data!C97)</f>
        <v>71374</v>
      </c>
    </row>
    <row r="99" spans="2:3" x14ac:dyDescent="0.25">
      <c r="B99" s="30">
        <v>44747</v>
      </c>
      <c r="C99" s="1">
        <f>_xlfn.IFNA(_xlfn.XLOOKUP(B99,Data_22_23[Date],Data_22_23[Balance],NA(),0,-1),Monthly_Data!C98)</f>
        <v>71374</v>
      </c>
    </row>
    <row r="100" spans="2:3" x14ac:dyDescent="0.25">
      <c r="B100" s="30">
        <v>44748</v>
      </c>
      <c r="C100" s="1">
        <f>_xlfn.IFNA(_xlfn.XLOOKUP(B100,Data_22_23[Date],Data_22_23[Balance],NA(),0,-1),Monthly_Data!C99)</f>
        <v>71374</v>
      </c>
    </row>
    <row r="101" spans="2:3" x14ac:dyDescent="0.25">
      <c r="B101" s="30">
        <v>44749</v>
      </c>
      <c r="C101" s="1">
        <f>_xlfn.IFNA(_xlfn.XLOOKUP(B101,Data_22_23[Date],Data_22_23[Balance],NA(),0,-1),Monthly_Data!C100)</f>
        <v>71374</v>
      </c>
    </row>
    <row r="102" spans="2:3" x14ac:dyDescent="0.25">
      <c r="B102" s="30">
        <v>44750</v>
      </c>
      <c r="C102" s="1">
        <f>_xlfn.IFNA(_xlfn.XLOOKUP(B102,Data_22_23[Date],Data_22_23[Balance],NA(),0,-1),Monthly_Data!C101)</f>
        <v>71374</v>
      </c>
    </row>
    <row r="103" spans="2:3" x14ac:dyDescent="0.25">
      <c r="B103" s="30">
        <v>44751</v>
      </c>
      <c r="C103" s="1">
        <f>_xlfn.IFNA(_xlfn.XLOOKUP(B103,Data_22_23[Date],Data_22_23[Balance],NA(),0,-1),Monthly_Data!C102)</f>
        <v>71374</v>
      </c>
    </row>
    <row r="104" spans="2:3" x14ac:dyDescent="0.25">
      <c r="B104" s="30">
        <v>44752</v>
      </c>
      <c r="C104" s="1">
        <f>_xlfn.IFNA(_xlfn.XLOOKUP(B104,Data_22_23[Date],Data_22_23[Balance],NA(),0,-1),Monthly_Data!C103)</f>
        <v>71374</v>
      </c>
    </row>
    <row r="105" spans="2:3" x14ac:dyDescent="0.25">
      <c r="B105" s="30">
        <v>44753</v>
      </c>
      <c r="C105" s="1">
        <f>_xlfn.IFNA(_xlfn.XLOOKUP(B105,Data_22_23[Date],Data_22_23[Balance],NA(),0,-1),Monthly_Data!C104)</f>
        <v>71374</v>
      </c>
    </row>
    <row r="106" spans="2:3" x14ac:dyDescent="0.25">
      <c r="B106" s="30">
        <v>44754</v>
      </c>
      <c r="C106" s="1">
        <f>_xlfn.IFNA(_xlfn.XLOOKUP(B106,Data_22_23[Date],Data_22_23[Balance],NA(),0,-1),Monthly_Data!C105)</f>
        <v>71374</v>
      </c>
    </row>
    <row r="107" spans="2:3" x14ac:dyDescent="0.25">
      <c r="B107" s="30">
        <v>44755</v>
      </c>
      <c r="C107" s="1">
        <f>_xlfn.IFNA(_xlfn.XLOOKUP(B107,Data_22_23[Date],Data_22_23[Balance],NA(),0,-1),Monthly_Data!C106)</f>
        <v>71374</v>
      </c>
    </row>
    <row r="108" spans="2:3" x14ac:dyDescent="0.25">
      <c r="B108" s="30">
        <v>44756</v>
      </c>
      <c r="C108" s="1">
        <f>_xlfn.IFNA(_xlfn.XLOOKUP(B108,Data_22_23[Date],Data_22_23[Balance],NA(),0,-1),Monthly_Data!C107)</f>
        <v>71374</v>
      </c>
    </row>
    <row r="109" spans="2:3" x14ac:dyDescent="0.25">
      <c r="B109" s="30">
        <v>44757</v>
      </c>
      <c r="C109" s="1">
        <f>_xlfn.IFNA(_xlfn.XLOOKUP(B109,Data_22_23[Date],Data_22_23[Balance],NA(),0,-1),Monthly_Data!C108)</f>
        <v>71374</v>
      </c>
    </row>
    <row r="110" spans="2:3" x14ac:dyDescent="0.25">
      <c r="B110" s="30">
        <v>44758</v>
      </c>
      <c r="C110" s="1">
        <f>_xlfn.IFNA(_xlfn.XLOOKUP(B110,Data_22_23[Date],Data_22_23[Balance],NA(),0,-1),Monthly_Data!C109)</f>
        <v>71374</v>
      </c>
    </row>
    <row r="111" spans="2:3" x14ac:dyDescent="0.25">
      <c r="B111" s="30">
        <v>44759</v>
      </c>
      <c r="C111" s="1">
        <f>_xlfn.IFNA(_xlfn.XLOOKUP(B111,Data_22_23[Date],Data_22_23[Balance],NA(),0,-1),Monthly_Data!C110)</f>
        <v>71374</v>
      </c>
    </row>
    <row r="112" spans="2:3" x14ac:dyDescent="0.25">
      <c r="B112" s="30">
        <v>44760</v>
      </c>
      <c r="C112" s="1">
        <f>_xlfn.IFNA(_xlfn.XLOOKUP(B112,Data_22_23[Date],Data_22_23[Balance],NA(),0,-1),Monthly_Data!C111)</f>
        <v>71374</v>
      </c>
    </row>
    <row r="113" spans="2:3" x14ac:dyDescent="0.25">
      <c r="B113" s="30">
        <v>44761</v>
      </c>
      <c r="C113" s="1">
        <f>_xlfn.IFNA(_xlfn.XLOOKUP(B113,Data_22_23[Date],Data_22_23[Balance],NA(),0,-1),Monthly_Data!C112)</f>
        <v>71374</v>
      </c>
    </row>
    <row r="114" spans="2:3" x14ac:dyDescent="0.25">
      <c r="B114" s="30">
        <v>44762</v>
      </c>
      <c r="C114" s="1">
        <f>_xlfn.IFNA(_xlfn.XLOOKUP(B114,Data_22_23[Date],Data_22_23[Balance],NA(),0,-1),Monthly_Data!C113)</f>
        <v>71374</v>
      </c>
    </row>
    <row r="115" spans="2:3" x14ac:dyDescent="0.25">
      <c r="B115" s="30">
        <v>44763</v>
      </c>
      <c r="C115" s="1">
        <f>_xlfn.IFNA(_xlfn.XLOOKUP(B115,Data_22_23[Date],Data_22_23[Balance],NA(),0,-1),Monthly_Data!C114)</f>
        <v>71374</v>
      </c>
    </row>
    <row r="116" spans="2:3" x14ac:dyDescent="0.25">
      <c r="B116" s="30">
        <v>44764</v>
      </c>
      <c r="C116" s="1">
        <f>_xlfn.IFNA(_xlfn.XLOOKUP(B116,Data_22_23[Date],Data_22_23[Balance],NA(),0,-1),Monthly_Data!C115)</f>
        <v>71374</v>
      </c>
    </row>
    <row r="117" spans="2:3" x14ac:dyDescent="0.25">
      <c r="B117" s="30">
        <v>44765</v>
      </c>
      <c r="C117" s="1">
        <f>_xlfn.IFNA(_xlfn.XLOOKUP(B117,Data_22_23[Date],Data_22_23[Balance],NA(),0,-1),Monthly_Data!C116)</f>
        <v>71374</v>
      </c>
    </row>
    <row r="118" spans="2:3" x14ac:dyDescent="0.25">
      <c r="B118" s="30">
        <v>44766</v>
      </c>
      <c r="C118" s="1">
        <f>_xlfn.IFNA(_xlfn.XLOOKUP(B118,Data_22_23[Date],Data_22_23[Balance],NA(),0,-1),Monthly_Data!C117)</f>
        <v>71374</v>
      </c>
    </row>
    <row r="119" spans="2:3" x14ac:dyDescent="0.25">
      <c r="B119" s="30">
        <v>44767</v>
      </c>
      <c r="C119" s="1">
        <f>_xlfn.IFNA(_xlfn.XLOOKUP(B119,Data_22_23[Date],Data_22_23[Balance],NA(),0,-1),Monthly_Data!C118)</f>
        <v>71374</v>
      </c>
    </row>
    <row r="120" spans="2:3" x14ac:dyDescent="0.25">
      <c r="B120" s="30">
        <v>44768</v>
      </c>
      <c r="C120" s="1">
        <f>_xlfn.IFNA(_xlfn.XLOOKUP(B120,Data_22_23[Date],Data_22_23[Balance],NA(),0,-1),Monthly_Data!C119)</f>
        <v>71374</v>
      </c>
    </row>
    <row r="121" spans="2:3" x14ac:dyDescent="0.25">
      <c r="B121" s="30">
        <v>44769</v>
      </c>
      <c r="C121" s="1">
        <f>_xlfn.IFNA(_xlfn.XLOOKUP(B121,Data_22_23[Date],Data_22_23[Balance],NA(),0,-1),Monthly_Data!C120)</f>
        <v>71374</v>
      </c>
    </row>
    <row r="122" spans="2:3" x14ac:dyDescent="0.25">
      <c r="B122" s="30">
        <v>44770</v>
      </c>
      <c r="C122" s="1">
        <f>_xlfn.IFNA(_xlfn.XLOOKUP(B122,Data_22_23[Date],Data_22_23[Balance],NA(),0,-1),Monthly_Data!C121)</f>
        <v>71374</v>
      </c>
    </row>
    <row r="123" spans="2:3" x14ac:dyDescent="0.25">
      <c r="B123" s="30">
        <v>44771</v>
      </c>
      <c r="C123" s="1">
        <f>_xlfn.IFNA(_xlfn.XLOOKUP(B123,Data_22_23[Date],Data_22_23[Balance],NA(),0,-1),Monthly_Data!C122)</f>
        <v>71374</v>
      </c>
    </row>
    <row r="124" spans="2:3" x14ac:dyDescent="0.25">
      <c r="B124" s="30">
        <v>44772</v>
      </c>
      <c r="C124" s="1">
        <f>_xlfn.IFNA(_xlfn.XLOOKUP(B124,Data_22_23[Date],Data_22_23[Balance],NA(),0,-1),Monthly_Data!C123)</f>
        <v>71374</v>
      </c>
    </row>
    <row r="125" spans="2:3" x14ac:dyDescent="0.25">
      <c r="B125" s="30">
        <v>44773</v>
      </c>
      <c r="C125" s="1">
        <f>_xlfn.IFNA(_xlfn.XLOOKUP(B125,Data_22_23[Date],Data_22_23[Balance],NA(),0,-1),Monthly_Data!C124)</f>
        <v>71374</v>
      </c>
    </row>
    <row r="126" spans="2:3" x14ac:dyDescent="0.25">
      <c r="B126" s="30">
        <v>44774</v>
      </c>
      <c r="C126" s="1">
        <f>_xlfn.IFNA(_xlfn.XLOOKUP(B126,Data_22_23[Date],Data_22_23[Balance],NA(),0,-1),Monthly_Data!C125)</f>
        <v>71374</v>
      </c>
    </row>
    <row r="127" spans="2:3" x14ac:dyDescent="0.25">
      <c r="B127" s="30">
        <v>44775</v>
      </c>
      <c r="C127" s="1">
        <f>_xlfn.IFNA(_xlfn.XLOOKUP(B127,Data_22_23[Date],Data_22_23[Balance],NA(),0,-1),Monthly_Data!C126)</f>
        <v>71374</v>
      </c>
    </row>
    <row r="128" spans="2:3" x14ac:dyDescent="0.25">
      <c r="B128" s="30">
        <v>44776</v>
      </c>
      <c r="C128" s="1">
        <f>_xlfn.IFNA(_xlfn.XLOOKUP(B128,Data_22_23[Date],Data_22_23[Balance],NA(),0,-1),Monthly_Data!C127)</f>
        <v>71374</v>
      </c>
    </row>
    <row r="129" spans="2:3" x14ac:dyDescent="0.25">
      <c r="B129" s="30">
        <v>44777</v>
      </c>
      <c r="C129" s="1">
        <f>_xlfn.IFNA(_xlfn.XLOOKUP(B129,Data_22_23[Date],Data_22_23[Balance],NA(),0,-1),Monthly_Data!C128)</f>
        <v>71374</v>
      </c>
    </row>
    <row r="130" spans="2:3" x14ac:dyDescent="0.25">
      <c r="B130" s="30">
        <v>44778</v>
      </c>
      <c r="C130" s="1">
        <f>_xlfn.IFNA(_xlfn.XLOOKUP(B130,Data_22_23[Date],Data_22_23[Balance],NA(),0,-1),Monthly_Data!C129)</f>
        <v>71374</v>
      </c>
    </row>
    <row r="131" spans="2:3" x14ac:dyDescent="0.25">
      <c r="B131" s="30">
        <v>44779</v>
      </c>
      <c r="C131" s="1">
        <f>_xlfn.IFNA(_xlfn.XLOOKUP(B131,Data_22_23[Date],Data_22_23[Balance],NA(),0,-1),Monthly_Data!C130)</f>
        <v>71374</v>
      </c>
    </row>
    <row r="132" spans="2:3" x14ac:dyDescent="0.25">
      <c r="B132" s="30">
        <v>44780</v>
      </c>
      <c r="C132" s="1">
        <f>_xlfn.IFNA(_xlfn.XLOOKUP(B132,Data_22_23[Date],Data_22_23[Balance],NA(),0,-1),Monthly_Data!C131)</f>
        <v>71374</v>
      </c>
    </row>
    <row r="133" spans="2:3" x14ac:dyDescent="0.25">
      <c r="B133" s="30">
        <v>44781</v>
      </c>
      <c r="C133" s="1">
        <f>_xlfn.IFNA(_xlfn.XLOOKUP(B133,Data_22_23[Date],Data_22_23[Balance],NA(),0,-1),Monthly_Data!C132)</f>
        <v>71374</v>
      </c>
    </row>
    <row r="134" spans="2:3" x14ac:dyDescent="0.25">
      <c r="B134" s="30">
        <v>44782</v>
      </c>
      <c r="C134" s="1">
        <f>_xlfn.IFNA(_xlfn.XLOOKUP(B134,Data_22_23[Date],Data_22_23[Balance],NA(),0,-1),Monthly_Data!C133)</f>
        <v>71374</v>
      </c>
    </row>
    <row r="135" spans="2:3" x14ac:dyDescent="0.25">
      <c r="B135" s="30">
        <v>44783</v>
      </c>
      <c r="C135" s="1">
        <f>_xlfn.IFNA(_xlfn.XLOOKUP(B135,Data_22_23[Date],Data_22_23[Balance],NA(),0,-1),Monthly_Data!C134)</f>
        <v>71374</v>
      </c>
    </row>
    <row r="136" spans="2:3" x14ac:dyDescent="0.25">
      <c r="B136" s="30">
        <v>44784</v>
      </c>
      <c r="C136" s="1">
        <f>_xlfn.IFNA(_xlfn.XLOOKUP(B136,Data_22_23[Date],Data_22_23[Balance],NA(),0,-1),Monthly_Data!C135)</f>
        <v>71374</v>
      </c>
    </row>
    <row r="137" spans="2:3" x14ac:dyDescent="0.25">
      <c r="B137" s="30">
        <v>44785</v>
      </c>
      <c r="C137" s="1">
        <f>_xlfn.IFNA(_xlfn.XLOOKUP(B137,Data_22_23[Date],Data_22_23[Balance],NA(),0,-1),Monthly_Data!C136)</f>
        <v>71374</v>
      </c>
    </row>
    <row r="138" spans="2:3" x14ac:dyDescent="0.25">
      <c r="B138" s="30">
        <v>44786</v>
      </c>
      <c r="C138" s="1">
        <f>_xlfn.IFNA(_xlfn.XLOOKUP(B138,Data_22_23[Date],Data_22_23[Balance],NA(),0,-1),Monthly_Data!C137)</f>
        <v>71374</v>
      </c>
    </row>
    <row r="139" spans="2:3" x14ac:dyDescent="0.25">
      <c r="B139" s="30">
        <v>44787</v>
      </c>
      <c r="C139" s="1">
        <f>_xlfn.IFNA(_xlfn.XLOOKUP(B139,Data_22_23[Date],Data_22_23[Balance],NA(),0,-1),Monthly_Data!C138)</f>
        <v>71374</v>
      </c>
    </row>
    <row r="140" spans="2:3" x14ac:dyDescent="0.25">
      <c r="B140" s="30">
        <v>44788</v>
      </c>
      <c r="C140" s="1">
        <f>_xlfn.IFNA(_xlfn.XLOOKUP(B140,Data_22_23[Date],Data_22_23[Balance],NA(),0,-1),Monthly_Data!C139)</f>
        <v>71374</v>
      </c>
    </row>
    <row r="141" spans="2:3" x14ac:dyDescent="0.25">
      <c r="B141" s="30">
        <v>44789</v>
      </c>
      <c r="C141" s="1">
        <f>_xlfn.IFNA(_xlfn.XLOOKUP(B141,Data_22_23[Date],Data_22_23[Balance],NA(),0,-1),Monthly_Data!C140)</f>
        <v>71374</v>
      </c>
    </row>
    <row r="142" spans="2:3" x14ac:dyDescent="0.25">
      <c r="B142" s="30">
        <v>44790</v>
      </c>
      <c r="C142" s="1">
        <f>_xlfn.IFNA(_xlfn.XLOOKUP(B142,Data_22_23[Date],Data_22_23[Balance],NA(),0,-1),Monthly_Data!C141)</f>
        <v>71374</v>
      </c>
    </row>
    <row r="143" spans="2:3" x14ac:dyDescent="0.25">
      <c r="B143" s="30">
        <v>44791</v>
      </c>
      <c r="C143" s="1">
        <f>_xlfn.IFNA(_xlfn.XLOOKUP(B143,Data_22_23[Date],Data_22_23[Balance],NA(),0,-1),Monthly_Data!C142)</f>
        <v>71374</v>
      </c>
    </row>
    <row r="144" spans="2:3" x14ac:dyDescent="0.25">
      <c r="B144" s="30">
        <v>44792</v>
      </c>
      <c r="C144" s="1">
        <f>_xlfn.IFNA(_xlfn.XLOOKUP(B144,Data_22_23[Date],Data_22_23[Balance],NA(),0,-1),Monthly_Data!C143)</f>
        <v>51374</v>
      </c>
    </row>
    <row r="145" spans="2:3" x14ac:dyDescent="0.25">
      <c r="B145" s="30">
        <v>44793</v>
      </c>
      <c r="C145" s="1">
        <f>_xlfn.IFNA(_xlfn.XLOOKUP(B145,Data_22_23[Date],Data_22_23[Balance],NA(),0,-1),Monthly_Data!C144)</f>
        <v>51374</v>
      </c>
    </row>
    <row r="146" spans="2:3" x14ac:dyDescent="0.25">
      <c r="B146" s="30">
        <v>44794</v>
      </c>
      <c r="C146" s="1">
        <f>_xlfn.IFNA(_xlfn.XLOOKUP(B146,Data_22_23[Date],Data_22_23[Balance],NA(),0,-1),Monthly_Data!C145)</f>
        <v>51374</v>
      </c>
    </row>
    <row r="147" spans="2:3" x14ac:dyDescent="0.25">
      <c r="B147" s="30">
        <v>44795</v>
      </c>
      <c r="C147" s="1">
        <f>_xlfn.IFNA(_xlfn.XLOOKUP(B147,Data_22_23[Date],Data_22_23[Balance],NA(),0,-1),Monthly_Data!C146)</f>
        <v>51374</v>
      </c>
    </row>
    <row r="148" spans="2:3" x14ac:dyDescent="0.25">
      <c r="B148" s="30">
        <v>44796</v>
      </c>
      <c r="C148" s="1">
        <f>_xlfn.IFNA(_xlfn.XLOOKUP(B148,Data_22_23[Date],Data_22_23[Balance],NA(),0,-1),Monthly_Data!C147)</f>
        <v>51374</v>
      </c>
    </row>
    <row r="149" spans="2:3" x14ac:dyDescent="0.25">
      <c r="B149" s="30">
        <v>44797</v>
      </c>
      <c r="C149" s="1">
        <f>_xlfn.IFNA(_xlfn.XLOOKUP(B149,Data_22_23[Date],Data_22_23[Balance],NA(),0,-1),Monthly_Data!C148)</f>
        <v>51374</v>
      </c>
    </row>
    <row r="150" spans="2:3" x14ac:dyDescent="0.25">
      <c r="B150" s="30">
        <v>44798</v>
      </c>
      <c r="C150" s="1">
        <f>_xlfn.IFNA(_xlfn.XLOOKUP(B150,Data_22_23[Date],Data_22_23[Balance],NA(),0,-1),Monthly_Data!C149)</f>
        <v>51374</v>
      </c>
    </row>
    <row r="151" spans="2:3" x14ac:dyDescent="0.25">
      <c r="B151" s="30">
        <v>44799</v>
      </c>
      <c r="C151" s="1">
        <f>_xlfn.IFNA(_xlfn.XLOOKUP(B151,Data_22_23[Date],Data_22_23[Balance],NA(),0,-1),Monthly_Data!C150)</f>
        <v>51374</v>
      </c>
    </row>
    <row r="152" spans="2:3" x14ac:dyDescent="0.25">
      <c r="B152" s="30">
        <v>44800</v>
      </c>
      <c r="C152" s="1">
        <f>_xlfn.IFNA(_xlfn.XLOOKUP(B152,Data_22_23[Date],Data_22_23[Balance],NA(),0,-1),Monthly_Data!C151)</f>
        <v>51374</v>
      </c>
    </row>
    <row r="153" spans="2:3" x14ac:dyDescent="0.25">
      <c r="B153" s="30">
        <v>44801</v>
      </c>
      <c r="C153" s="1">
        <f>_xlfn.IFNA(_xlfn.XLOOKUP(B153,Data_22_23[Date],Data_22_23[Balance],NA(),0,-1),Monthly_Data!C152)</f>
        <v>51374</v>
      </c>
    </row>
    <row r="154" spans="2:3" x14ac:dyDescent="0.25">
      <c r="B154" s="30">
        <v>44802</v>
      </c>
      <c r="C154" s="1">
        <f>_xlfn.IFNA(_xlfn.XLOOKUP(B154,Data_22_23[Date],Data_22_23[Balance],NA(),0,-1),Monthly_Data!C153)</f>
        <v>51374</v>
      </c>
    </row>
    <row r="155" spans="2:3" x14ac:dyDescent="0.25">
      <c r="B155" s="30">
        <v>44803</v>
      </c>
      <c r="C155" s="1">
        <f>_xlfn.IFNA(_xlfn.XLOOKUP(B155,Data_22_23[Date],Data_22_23[Balance],NA(),0,-1),Monthly_Data!C154)</f>
        <v>51374</v>
      </c>
    </row>
    <row r="156" spans="2:3" x14ac:dyDescent="0.25">
      <c r="B156" s="30">
        <v>44804</v>
      </c>
      <c r="C156" s="1">
        <f>_xlfn.IFNA(_xlfn.XLOOKUP(B156,Data_22_23[Date],Data_22_23[Balance],NA(),0,-1),Monthly_Data!C155)</f>
        <v>51374</v>
      </c>
    </row>
    <row r="157" spans="2:3" x14ac:dyDescent="0.25">
      <c r="B157" s="30">
        <v>44805</v>
      </c>
      <c r="C157" s="1">
        <f>_xlfn.IFNA(_xlfn.XLOOKUP(B157,Data_22_23[Date],Data_22_23[Balance],NA(),0,-1),Monthly_Data!C156)</f>
        <v>51374</v>
      </c>
    </row>
    <row r="158" spans="2:3" x14ac:dyDescent="0.25">
      <c r="B158" s="30">
        <v>44806</v>
      </c>
      <c r="C158" s="1">
        <f>_xlfn.IFNA(_xlfn.XLOOKUP(B158,Data_22_23[Date],Data_22_23[Balance],NA(),0,-1),Monthly_Data!C157)</f>
        <v>51374</v>
      </c>
    </row>
    <row r="159" spans="2:3" x14ac:dyDescent="0.25">
      <c r="B159" s="30">
        <v>44807</v>
      </c>
      <c r="C159" s="1">
        <f>_xlfn.IFNA(_xlfn.XLOOKUP(B159,Data_22_23[Date],Data_22_23[Balance],NA(),0,-1),Monthly_Data!C158)</f>
        <v>51374</v>
      </c>
    </row>
    <row r="160" spans="2:3" x14ac:dyDescent="0.25">
      <c r="B160" s="30">
        <v>44808</v>
      </c>
      <c r="C160" s="1">
        <f>_xlfn.IFNA(_xlfn.XLOOKUP(B160,Data_22_23[Date],Data_22_23[Balance],NA(),0,-1),Monthly_Data!C159)</f>
        <v>51374</v>
      </c>
    </row>
    <row r="161" spans="2:3" x14ac:dyDescent="0.25">
      <c r="B161" s="30">
        <v>44809</v>
      </c>
      <c r="C161" s="1">
        <f>_xlfn.IFNA(_xlfn.XLOOKUP(B161,Data_22_23[Date],Data_22_23[Balance],NA(),0,-1),Monthly_Data!C160)</f>
        <v>51374</v>
      </c>
    </row>
    <row r="162" spans="2:3" x14ac:dyDescent="0.25">
      <c r="B162" s="30">
        <v>44810</v>
      </c>
      <c r="C162" s="1">
        <f>_xlfn.IFNA(_xlfn.XLOOKUP(B162,Data_22_23[Date],Data_22_23[Balance],NA(),0,-1),Monthly_Data!C161)</f>
        <v>51374</v>
      </c>
    </row>
    <row r="163" spans="2:3" x14ac:dyDescent="0.25">
      <c r="B163" s="30">
        <v>44811</v>
      </c>
      <c r="C163" s="1">
        <f>_xlfn.IFNA(_xlfn.XLOOKUP(B163,Data_22_23[Date],Data_22_23[Balance],NA(),0,-1),Monthly_Data!C162)</f>
        <v>51374</v>
      </c>
    </row>
    <row r="164" spans="2:3" x14ac:dyDescent="0.25">
      <c r="B164" s="30">
        <v>44812</v>
      </c>
      <c r="C164" s="1">
        <f>_xlfn.IFNA(_xlfn.XLOOKUP(B164,Data_22_23[Date],Data_22_23[Balance],NA(),0,-1),Monthly_Data!C163)</f>
        <v>51374</v>
      </c>
    </row>
    <row r="165" spans="2:3" x14ac:dyDescent="0.25">
      <c r="B165" s="30">
        <v>44813</v>
      </c>
      <c r="C165" s="1">
        <f>_xlfn.IFNA(_xlfn.XLOOKUP(B165,Data_22_23[Date],Data_22_23[Balance],NA(),0,-1),Monthly_Data!C164)</f>
        <v>51374</v>
      </c>
    </row>
    <row r="166" spans="2:3" x14ac:dyDescent="0.25">
      <c r="B166" s="30">
        <v>44814</v>
      </c>
      <c r="C166" s="1">
        <f>_xlfn.IFNA(_xlfn.XLOOKUP(B166,Data_22_23[Date],Data_22_23[Balance],NA(),0,-1),Monthly_Data!C165)</f>
        <v>51374</v>
      </c>
    </row>
    <row r="167" spans="2:3" x14ac:dyDescent="0.25">
      <c r="B167" s="30">
        <v>44815</v>
      </c>
      <c r="C167" s="1">
        <f>_xlfn.IFNA(_xlfn.XLOOKUP(B167,Data_22_23[Date],Data_22_23[Balance],NA(),0,-1),Monthly_Data!C166)</f>
        <v>51374</v>
      </c>
    </row>
    <row r="168" spans="2:3" x14ac:dyDescent="0.25">
      <c r="B168" s="30">
        <v>44816</v>
      </c>
      <c r="C168" s="1">
        <f>_xlfn.IFNA(_xlfn.XLOOKUP(B168,Data_22_23[Date],Data_22_23[Balance],NA(),0,-1),Monthly_Data!C167)</f>
        <v>51374</v>
      </c>
    </row>
    <row r="169" spans="2:3" x14ac:dyDescent="0.25">
      <c r="B169" s="30">
        <v>44817</v>
      </c>
      <c r="C169" s="1">
        <f>_xlfn.IFNA(_xlfn.XLOOKUP(B169,Data_22_23[Date],Data_22_23[Balance],NA(),0,-1),Monthly_Data!C168)</f>
        <v>51374</v>
      </c>
    </row>
    <row r="170" spans="2:3" x14ac:dyDescent="0.25">
      <c r="B170" s="30">
        <v>44818</v>
      </c>
      <c r="C170" s="1">
        <f>_xlfn.IFNA(_xlfn.XLOOKUP(B170,Data_22_23[Date],Data_22_23[Balance],NA(),0,-1),Monthly_Data!C169)</f>
        <v>51374</v>
      </c>
    </row>
    <row r="171" spans="2:3" x14ac:dyDescent="0.25">
      <c r="B171" s="30">
        <v>44819</v>
      </c>
      <c r="C171" s="1">
        <f>_xlfn.IFNA(_xlfn.XLOOKUP(B171,Data_22_23[Date],Data_22_23[Balance],NA(),0,-1),Monthly_Data!C170)</f>
        <v>51374</v>
      </c>
    </row>
    <row r="172" spans="2:3" x14ac:dyDescent="0.25">
      <c r="B172" s="30">
        <v>44820</v>
      </c>
      <c r="C172" s="1">
        <f>_xlfn.IFNA(_xlfn.XLOOKUP(B172,Data_22_23[Date],Data_22_23[Balance],NA(),0,-1),Monthly_Data!C171)</f>
        <v>51374</v>
      </c>
    </row>
    <row r="173" spans="2:3" x14ac:dyDescent="0.25">
      <c r="B173" s="30">
        <v>44821</v>
      </c>
      <c r="C173" s="1">
        <f>_xlfn.IFNA(_xlfn.XLOOKUP(B173,Data_22_23[Date],Data_22_23[Balance],NA(),0,-1),Monthly_Data!C172)</f>
        <v>51374</v>
      </c>
    </row>
    <row r="174" spans="2:3" x14ac:dyDescent="0.25">
      <c r="B174" s="30">
        <v>44822</v>
      </c>
      <c r="C174" s="1">
        <f>_xlfn.IFNA(_xlfn.XLOOKUP(B174,Data_22_23[Date],Data_22_23[Balance],NA(),0,-1),Monthly_Data!C173)</f>
        <v>51374</v>
      </c>
    </row>
    <row r="175" spans="2:3" x14ac:dyDescent="0.25">
      <c r="B175" s="30">
        <v>44823</v>
      </c>
      <c r="C175" s="1">
        <f>_xlfn.IFNA(_xlfn.XLOOKUP(B175,Data_22_23[Date],Data_22_23[Balance],NA(),0,-1),Monthly_Data!C174)</f>
        <v>51374</v>
      </c>
    </row>
    <row r="176" spans="2:3" x14ac:dyDescent="0.25">
      <c r="B176" s="30">
        <v>44824</v>
      </c>
      <c r="C176" s="1">
        <f>_xlfn.IFNA(_xlfn.XLOOKUP(B176,Data_22_23[Date],Data_22_23[Balance],NA(),0,-1),Monthly_Data!C175)</f>
        <v>111374</v>
      </c>
    </row>
    <row r="177" spans="2:3" x14ac:dyDescent="0.25">
      <c r="B177" s="30">
        <v>44825</v>
      </c>
      <c r="C177" s="1">
        <f>_xlfn.IFNA(_xlfn.XLOOKUP(B177,Data_22_23[Date],Data_22_23[Balance],NA(),0,-1),Monthly_Data!C176)</f>
        <v>111374</v>
      </c>
    </row>
    <row r="178" spans="2:3" x14ac:dyDescent="0.25">
      <c r="B178" s="30">
        <v>44826</v>
      </c>
      <c r="C178" s="1">
        <f>_xlfn.IFNA(_xlfn.XLOOKUP(B178,Data_22_23[Date],Data_22_23[Balance],NA(),0,-1),Monthly_Data!C177)</f>
        <v>111374</v>
      </c>
    </row>
    <row r="179" spans="2:3" x14ac:dyDescent="0.25">
      <c r="B179" s="30">
        <v>44827</v>
      </c>
      <c r="C179" s="1">
        <f>_xlfn.IFNA(_xlfn.XLOOKUP(B179,Data_22_23[Date],Data_22_23[Balance],NA(),0,-1),Monthly_Data!C178)</f>
        <v>111374</v>
      </c>
    </row>
    <row r="180" spans="2:3" x14ac:dyDescent="0.25">
      <c r="B180" s="30">
        <v>44828</v>
      </c>
      <c r="C180" s="1">
        <f>_xlfn.IFNA(_xlfn.XLOOKUP(B180,Data_22_23[Date],Data_22_23[Balance],NA(),0,-1),Monthly_Data!C179)</f>
        <v>111374</v>
      </c>
    </row>
    <row r="181" spans="2:3" x14ac:dyDescent="0.25">
      <c r="B181" s="30">
        <v>44829</v>
      </c>
      <c r="C181" s="1">
        <f>_xlfn.IFNA(_xlfn.XLOOKUP(B181,Data_22_23[Date],Data_22_23[Balance],NA(),0,-1),Monthly_Data!C180)</f>
        <v>111374</v>
      </c>
    </row>
    <row r="182" spans="2:3" x14ac:dyDescent="0.25">
      <c r="B182" s="30">
        <v>44830</v>
      </c>
      <c r="C182" s="1">
        <f>_xlfn.IFNA(_xlfn.XLOOKUP(B182,Data_22_23[Date],Data_22_23[Balance],NA(),0,-1),Monthly_Data!C181)</f>
        <v>111374</v>
      </c>
    </row>
    <row r="183" spans="2:3" x14ac:dyDescent="0.25">
      <c r="B183" s="30">
        <v>44831</v>
      </c>
      <c r="C183" s="1">
        <f>_xlfn.IFNA(_xlfn.XLOOKUP(B183,Data_22_23[Date],Data_22_23[Balance],NA(),0,-1),Monthly_Data!C182)</f>
        <v>111374</v>
      </c>
    </row>
    <row r="184" spans="2:3" x14ac:dyDescent="0.25">
      <c r="B184" s="30">
        <v>44832</v>
      </c>
      <c r="C184" s="1">
        <f>_xlfn.IFNA(_xlfn.XLOOKUP(B184,Data_22_23[Date],Data_22_23[Balance],NA(),0,-1),Monthly_Data!C183)</f>
        <v>111374</v>
      </c>
    </row>
    <row r="185" spans="2:3" x14ac:dyDescent="0.25">
      <c r="B185" s="30">
        <v>44833</v>
      </c>
      <c r="C185" s="1">
        <f>_xlfn.IFNA(_xlfn.XLOOKUP(B185,Data_22_23[Date],Data_22_23[Balance],NA(),0,-1),Monthly_Data!C184)</f>
        <v>111374</v>
      </c>
    </row>
    <row r="186" spans="2:3" x14ac:dyDescent="0.25">
      <c r="B186" s="30">
        <v>44834</v>
      </c>
      <c r="C186" s="1">
        <f>_xlfn.IFNA(_xlfn.XLOOKUP(B186,Data_22_23[Date],Data_22_23[Balance],NA(),0,-1),Monthly_Data!C185)</f>
        <v>111374</v>
      </c>
    </row>
    <row r="187" spans="2:3" x14ac:dyDescent="0.25">
      <c r="B187" s="30">
        <v>44835</v>
      </c>
      <c r="C187" s="1">
        <f>_xlfn.IFNA(_xlfn.XLOOKUP(B187,Data_22_23[Date],Data_22_23[Balance],NA(),0,-1),Monthly_Data!C186)</f>
        <v>111374</v>
      </c>
    </row>
    <row r="188" spans="2:3" x14ac:dyDescent="0.25">
      <c r="B188" s="30">
        <v>44836</v>
      </c>
      <c r="C188" s="1">
        <f>_xlfn.IFNA(_xlfn.XLOOKUP(B188,Data_22_23[Date],Data_22_23[Balance],NA(),0,-1),Monthly_Data!C187)</f>
        <v>111374</v>
      </c>
    </row>
    <row r="189" spans="2:3" x14ac:dyDescent="0.25">
      <c r="B189" s="30">
        <v>44837</v>
      </c>
      <c r="C189" s="1">
        <f>_xlfn.IFNA(_xlfn.XLOOKUP(B189,Data_22_23[Date],Data_22_23[Balance],NA(),0,-1),Monthly_Data!C188)</f>
        <v>111374</v>
      </c>
    </row>
    <row r="190" spans="2:3" x14ac:dyDescent="0.25">
      <c r="B190" s="30">
        <v>44838</v>
      </c>
      <c r="C190" s="1">
        <f>_xlfn.IFNA(_xlfn.XLOOKUP(B190,Data_22_23[Date],Data_22_23[Balance],NA(),0,-1),Monthly_Data!C189)</f>
        <v>111374</v>
      </c>
    </row>
    <row r="191" spans="2:3" x14ac:dyDescent="0.25">
      <c r="B191" s="30">
        <v>44839</v>
      </c>
      <c r="C191" s="1">
        <f>_xlfn.IFNA(_xlfn.XLOOKUP(B191,Data_22_23[Date],Data_22_23[Balance],NA(),0,-1),Monthly_Data!C190)</f>
        <v>111374</v>
      </c>
    </row>
    <row r="192" spans="2:3" x14ac:dyDescent="0.25">
      <c r="B192" s="30">
        <v>44840</v>
      </c>
      <c r="C192" s="1">
        <f>_xlfn.IFNA(_xlfn.XLOOKUP(B192,Data_22_23[Date],Data_22_23[Balance],NA(),0,-1),Monthly_Data!C191)</f>
        <v>111374</v>
      </c>
    </row>
    <row r="193" spans="2:3" x14ac:dyDescent="0.25">
      <c r="B193" s="30">
        <v>44841</v>
      </c>
      <c r="C193" s="1">
        <f>_xlfn.IFNA(_xlfn.XLOOKUP(B193,Data_22_23[Date],Data_22_23[Balance],NA(),0,-1),Monthly_Data!C192)</f>
        <v>111374</v>
      </c>
    </row>
    <row r="194" spans="2:3" x14ac:dyDescent="0.25">
      <c r="B194" s="30">
        <v>44842</v>
      </c>
      <c r="C194" s="1">
        <f>_xlfn.IFNA(_xlfn.XLOOKUP(B194,Data_22_23[Date],Data_22_23[Balance],NA(),0,-1),Monthly_Data!C193)</f>
        <v>111374</v>
      </c>
    </row>
    <row r="195" spans="2:3" x14ac:dyDescent="0.25">
      <c r="B195" s="30">
        <v>44843</v>
      </c>
      <c r="C195" s="1">
        <f>_xlfn.IFNA(_xlfn.XLOOKUP(B195,Data_22_23[Date],Data_22_23[Balance],NA(),0,-1),Monthly_Data!C194)</f>
        <v>111374</v>
      </c>
    </row>
    <row r="196" spans="2:3" x14ac:dyDescent="0.25">
      <c r="B196" s="30">
        <v>44844</v>
      </c>
      <c r="C196" s="1">
        <f>_xlfn.IFNA(_xlfn.XLOOKUP(B196,Data_22_23[Date],Data_22_23[Balance],NA(),0,-1),Monthly_Data!C195)</f>
        <v>111374</v>
      </c>
    </row>
    <row r="197" spans="2:3" x14ac:dyDescent="0.25">
      <c r="B197" s="30">
        <v>44845</v>
      </c>
      <c r="C197" s="1">
        <f>_xlfn.IFNA(_xlfn.XLOOKUP(B197,Data_22_23[Date],Data_22_23[Balance],NA(),0,-1),Monthly_Data!C196)</f>
        <v>111374</v>
      </c>
    </row>
    <row r="198" spans="2:3" x14ac:dyDescent="0.25">
      <c r="B198" s="30">
        <v>44846</v>
      </c>
      <c r="C198" s="1">
        <f>_xlfn.IFNA(_xlfn.XLOOKUP(B198,Data_22_23[Date],Data_22_23[Balance],NA(),0,-1),Monthly_Data!C197)</f>
        <v>111374</v>
      </c>
    </row>
    <row r="199" spans="2:3" x14ac:dyDescent="0.25">
      <c r="B199" s="30">
        <v>44847</v>
      </c>
      <c r="C199" s="1">
        <f>_xlfn.IFNA(_xlfn.XLOOKUP(B199,Data_22_23[Date],Data_22_23[Balance],NA(),0,-1),Monthly_Data!C198)</f>
        <v>111374</v>
      </c>
    </row>
    <row r="200" spans="2:3" x14ac:dyDescent="0.25">
      <c r="B200" s="30">
        <v>44848</v>
      </c>
      <c r="C200" s="1">
        <f>_xlfn.IFNA(_xlfn.XLOOKUP(B200,Data_22_23[Date],Data_22_23[Balance],NA(),0,-1),Monthly_Data!C199)</f>
        <v>111374</v>
      </c>
    </row>
    <row r="201" spans="2:3" x14ac:dyDescent="0.25">
      <c r="B201" s="30">
        <v>44849</v>
      </c>
      <c r="C201" s="1">
        <f>_xlfn.IFNA(_xlfn.XLOOKUP(B201,Data_22_23[Date],Data_22_23[Balance],NA(),0,-1),Monthly_Data!C200)</f>
        <v>111374</v>
      </c>
    </row>
    <row r="202" spans="2:3" x14ac:dyDescent="0.25">
      <c r="B202" s="30">
        <v>44850</v>
      </c>
      <c r="C202" s="1">
        <f>_xlfn.IFNA(_xlfn.XLOOKUP(B202,Data_22_23[Date],Data_22_23[Balance],NA(),0,-1),Monthly_Data!C201)</f>
        <v>111374</v>
      </c>
    </row>
    <row r="203" spans="2:3" x14ac:dyDescent="0.25">
      <c r="B203" s="30">
        <v>44851</v>
      </c>
      <c r="C203" s="1">
        <f>_xlfn.IFNA(_xlfn.XLOOKUP(B203,Data_22_23[Date],Data_22_23[Balance],NA(),0,-1),Monthly_Data!C202)</f>
        <v>111374</v>
      </c>
    </row>
    <row r="204" spans="2:3" x14ac:dyDescent="0.25">
      <c r="B204" s="30">
        <v>44852</v>
      </c>
      <c r="C204" s="1">
        <f>_xlfn.IFNA(_xlfn.XLOOKUP(B204,Data_22_23[Date],Data_22_23[Balance],NA(),0,-1),Monthly_Data!C203)</f>
        <v>111374</v>
      </c>
    </row>
    <row r="205" spans="2:3" x14ac:dyDescent="0.25">
      <c r="B205" s="30">
        <v>44853</v>
      </c>
      <c r="C205" s="1">
        <f>_xlfn.IFNA(_xlfn.XLOOKUP(B205,Data_22_23[Date],Data_22_23[Balance],NA(),0,-1),Monthly_Data!C204)</f>
        <v>111374</v>
      </c>
    </row>
    <row r="206" spans="2:3" x14ac:dyDescent="0.25">
      <c r="B206" s="30">
        <v>44854</v>
      </c>
      <c r="C206" s="1">
        <f>_xlfn.IFNA(_xlfn.XLOOKUP(B206,Data_22_23[Date],Data_22_23[Balance],NA(),0,-1),Monthly_Data!C205)</f>
        <v>111374</v>
      </c>
    </row>
    <row r="207" spans="2:3" x14ac:dyDescent="0.25">
      <c r="B207" s="30">
        <v>44855</v>
      </c>
      <c r="C207" s="1">
        <f>_xlfn.IFNA(_xlfn.XLOOKUP(B207,Data_22_23[Date],Data_22_23[Balance],NA(),0,-1),Monthly_Data!C206)</f>
        <v>111374</v>
      </c>
    </row>
    <row r="208" spans="2:3" x14ac:dyDescent="0.25">
      <c r="B208" s="30">
        <v>44856</v>
      </c>
      <c r="C208" s="1">
        <f>_xlfn.IFNA(_xlfn.XLOOKUP(B208,Data_22_23[Date],Data_22_23[Balance],NA(),0,-1),Monthly_Data!C207)</f>
        <v>111374</v>
      </c>
    </row>
    <row r="209" spans="2:3" x14ac:dyDescent="0.25">
      <c r="B209" s="30">
        <v>44857</v>
      </c>
      <c r="C209" s="1">
        <f>_xlfn.IFNA(_xlfn.XLOOKUP(B209,Data_22_23[Date],Data_22_23[Balance],NA(),0,-1),Monthly_Data!C208)</f>
        <v>111374</v>
      </c>
    </row>
    <row r="210" spans="2:3" x14ac:dyDescent="0.25">
      <c r="B210" s="30">
        <v>44858</v>
      </c>
      <c r="C210" s="1">
        <f>_xlfn.IFNA(_xlfn.XLOOKUP(B210,Data_22_23[Date],Data_22_23[Balance],NA(),0,-1),Monthly_Data!C209)</f>
        <v>111374</v>
      </c>
    </row>
    <row r="211" spans="2:3" x14ac:dyDescent="0.25">
      <c r="B211" s="30">
        <v>44859</v>
      </c>
      <c r="C211" s="1">
        <f>_xlfn.IFNA(_xlfn.XLOOKUP(B211,Data_22_23[Date],Data_22_23[Balance],NA(),0,-1),Monthly_Data!C210)</f>
        <v>111374</v>
      </c>
    </row>
    <row r="212" spans="2:3" x14ac:dyDescent="0.25">
      <c r="B212" s="30">
        <v>44860</v>
      </c>
      <c r="C212" s="1">
        <f>_xlfn.IFNA(_xlfn.XLOOKUP(B212,Data_22_23[Date],Data_22_23[Balance],NA(),0,-1),Monthly_Data!C211)</f>
        <v>111374</v>
      </c>
    </row>
    <row r="213" spans="2:3" x14ac:dyDescent="0.25">
      <c r="B213" s="30">
        <v>44861</v>
      </c>
      <c r="C213" s="1">
        <f>_xlfn.IFNA(_xlfn.XLOOKUP(B213,Data_22_23[Date],Data_22_23[Balance],NA(),0,-1),Monthly_Data!C212)</f>
        <v>111374</v>
      </c>
    </row>
    <row r="214" spans="2:3" x14ac:dyDescent="0.25">
      <c r="B214" s="30">
        <v>44862</v>
      </c>
      <c r="C214" s="1">
        <f>_xlfn.IFNA(_xlfn.XLOOKUP(B214,Data_22_23[Date],Data_22_23[Balance],NA(),0,-1),Monthly_Data!C213)</f>
        <v>111374</v>
      </c>
    </row>
    <row r="215" spans="2:3" x14ac:dyDescent="0.25">
      <c r="B215" s="30">
        <v>44863</v>
      </c>
      <c r="C215" s="1">
        <f>_xlfn.IFNA(_xlfn.XLOOKUP(B215,Data_22_23[Date],Data_22_23[Balance],NA(),0,-1),Monthly_Data!C214)</f>
        <v>111374</v>
      </c>
    </row>
    <row r="216" spans="2:3" x14ac:dyDescent="0.25">
      <c r="B216" s="30">
        <v>44864</v>
      </c>
      <c r="C216" s="1">
        <f>_xlfn.IFNA(_xlfn.XLOOKUP(B216,Data_22_23[Date],Data_22_23[Balance],NA(),0,-1),Monthly_Data!C215)</f>
        <v>111374</v>
      </c>
    </row>
    <row r="217" spans="2:3" x14ac:dyDescent="0.25">
      <c r="B217" s="30">
        <v>44865</v>
      </c>
      <c r="C217" s="1">
        <f>_xlfn.IFNA(_xlfn.XLOOKUP(B217,Data_22_23[Date],Data_22_23[Balance],NA(),0,-1),Monthly_Data!C216)</f>
        <v>111374</v>
      </c>
    </row>
    <row r="218" spans="2:3" x14ac:dyDescent="0.25">
      <c r="B218" s="30">
        <v>44866</v>
      </c>
      <c r="C218" s="1">
        <f>_xlfn.IFNA(_xlfn.XLOOKUP(B218,Data_22_23[Date],Data_22_23[Balance],NA(),0,-1),Monthly_Data!C217)</f>
        <v>111374</v>
      </c>
    </row>
    <row r="219" spans="2:3" x14ac:dyDescent="0.25">
      <c r="B219" s="30">
        <v>44867</v>
      </c>
      <c r="C219" s="1">
        <f>_xlfn.IFNA(_xlfn.XLOOKUP(B219,Data_22_23[Date],Data_22_23[Balance],NA(),0,-1),Monthly_Data!C218)</f>
        <v>111374</v>
      </c>
    </row>
    <row r="220" spans="2:3" x14ac:dyDescent="0.25">
      <c r="B220" s="30">
        <v>44868</v>
      </c>
      <c r="C220" s="1">
        <f>_xlfn.IFNA(_xlfn.XLOOKUP(B220,Data_22_23[Date],Data_22_23[Balance],NA(),0,-1),Monthly_Data!C219)</f>
        <v>111374</v>
      </c>
    </row>
    <row r="221" spans="2:3" x14ac:dyDescent="0.25">
      <c r="B221" s="30">
        <v>44869</v>
      </c>
      <c r="C221" s="1">
        <f>_xlfn.IFNA(_xlfn.XLOOKUP(B221,Data_22_23[Date],Data_22_23[Balance],NA(),0,-1),Monthly_Data!C220)</f>
        <v>111374</v>
      </c>
    </row>
    <row r="222" spans="2:3" x14ac:dyDescent="0.25">
      <c r="B222" s="30">
        <v>44870</v>
      </c>
      <c r="C222" s="1">
        <f>_xlfn.IFNA(_xlfn.XLOOKUP(B222,Data_22_23[Date],Data_22_23[Balance],NA(),0,-1),Monthly_Data!C221)</f>
        <v>111374</v>
      </c>
    </row>
    <row r="223" spans="2:3" x14ac:dyDescent="0.25">
      <c r="B223" s="30">
        <v>44871</v>
      </c>
      <c r="C223" s="1">
        <f>_xlfn.IFNA(_xlfn.XLOOKUP(B223,Data_22_23[Date],Data_22_23[Balance],NA(),0,-1),Monthly_Data!C222)</f>
        <v>111374</v>
      </c>
    </row>
    <row r="224" spans="2:3" x14ac:dyDescent="0.25">
      <c r="B224" s="30">
        <v>44872</v>
      </c>
      <c r="C224" s="1">
        <f>_xlfn.IFNA(_xlfn.XLOOKUP(B224,Data_22_23[Date],Data_22_23[Balance],NA(),0,-1),Monthly_Data!C223)</f>
        <v>111374</v>
      </c>
    </row>
    <row r="225" spans="2:3" x14ac:dyDescent="0.25">
      <c r="B225" s="30">
        <v>44873</v>
      </c>
      <c r="C225" s="1">
        <f>_xlfn.IFNA(_xlfn.XLOOKUP(B225,Data_22_23[Date],Data_22_23[Balance],NA(),0,-1),Monthly_Data!C224)</f>
        <v>111374</v>
      </c>
    </row>
    <row r="226" spans="2:3" x14ac:dyDescent="0.25">
      <c r="B226" s="30">
        <v>44874</v>
      </c>
      <c r="C226" s="1">
        <f>_xlfn.IFNA(_xlfn.XLOOKUP(B226,Data_22_23[Date],Data_22_23[Balance],NA(),0,-1),Monthly_Data!C225)</f>
        <v>111374</v>
      </c>
    </row>
    <row r="227" spans="2:3" x14ac:dyDescent="0.25">
      <c r="B227" s="30">
        <v>44875</v>
      </c>
      <c r="C227" s="1">
        <f>_xlfn.IFNA(_xlfn.XLOOKUP(B227,Data_22_23[Date],Data_22_23[Balance],NA(),0,-1),Monthly_Data!C226)</f>
        <v>111374</v>
      </c>
    </row>
    <row r="228" spans="2:3" x14ac:dyDescent="0.25">
      <c r="B228" s="30">
        <v>44876</v>
      </c>
      <c r="C228" s="1">
        <f>_xlfn.IFNA(_xlfn.XLOOKUP(B228,Data_22_23[Date],Data_22_23[Balance],NA(),0,-1),Monthly_Data!C227)</f>
        <v>111374</v>
      </c>
    </row>
    <row r="229" spans="2:3" x14ac:dyDescent="0.25">
      <c r="B229" s="30">
        <v>44877</v>
      </c>
      <c r="C229" s="1">
        <f>_xlfn.IFNA(_xlfn.XLOOKUP(B229,Data_22_23[Date],Data_22_23[Balance],NA(),0,-1),Monthly_Data!C228)</f>
        <v>111374</v>
      </c>
    </row>
    <row r="230" spans="2:3" x14ac:dyDescent="0.25">
      <c r="B230" s="30">
        <v>44878</v>
      </c>
      <c r="C230" s="1">
        <f>_xlfn.IFNA(_xlfn.XLOOKUP(B230,Data_22_23[Date],Data_22_23[Balance],NA(),0,-1),Monthly_Data!C229)</f>
        <v>111374</v>
      </c>
    </row>
    <row r="231" spans="2:3" x14ac:dyDescent="0.25">
      <c r="B231" s="30">
        <v>44879</v>
      </c>
      <c r="C231" s="1">
        <f>_xlfn.IFNA(_xlfn.XLOOKUP(B231,Data_22_23[Date],Data_22_23[Balance],NA(),0,-1),Monthly_Data!C230)</f>
        <v>111374</v>
      </c>
    </row>
    <row r="232" spans="2:3" x14ac:dyDescent="0.25">
      <c r="B232" s="30">
        <v>44880</v>
      </c>
      <c r="C232" s="1">
        <f>_xlfn.IFNA(_xlfn.XLOOKUP(B232,Data_22_23[Date],Data_22_23[Balance],NA(),0,-1),Monthly_Data!C231)</f>
        <v>111374</v>
      </c>
    </row>
    <row r="233" spans="2:3" x14ac:dyDescent="0.25">
      <c r="B233" s="30">
        <v>44881</v>
      </c>
      <c r="C233" s="1">
        <f>_xlfn.IFNA(_xlfn.XLOOKUP(B233,Data_22_23[Date],Data_22_23[Balance],NA(),0,-1),Monthly_Data!C232)</f>
        <v>111374</v>
      </c>
    </row>
    <row r="234" spans="2:3" x14ac:dyDescent="0.25">
      <c r="B234" s="30">
        <v>44882</v>
      </c>
      <c r="C234" s="1">
        <f>_xlfn.IFNA(_xlfn.XLOOKUP(B234,Data_22_23[Date],Data_22_23[Balance],NA(),0,-1),Monthly_Data!C233)</f>
        <v>111374</v>
      </c>
    </row>
    <row r="235" spans="2:3" x14ac:dyDescent="0.25">
      <c r="B235" s="30">
        <v>44883</v>
      </c>
      <c r="C235" s="1">
        <f>_xlfn.IFNA(_xlfn.XLOOKUP(B235,Data_22_23[Date],Data_22_23[Balance],NA(),0,-1),Monthly_Data!C234)</f>
        <v>111374</v>
      </c>
    </row>
    <row r="236" spans="2:3" x14ac:dyDescent="0.25">
      <c r="B236" s="30">
        <v>44884</v>
      </c>
      <c r="C236" s="1">
        <f>_xlfn.IFNA(_xlfn.XLOOKUP(B236,Data_22_23[Date],Data_22_23[Balance],NA(),0,-1),Monthly_Data!C235)</f>
        <v>111374</v>
      </c>
    </row>
    <row r="237" spans="2:3" x14ac:dyDescent="0.25">
      <c r="B237" s="30">
        <v>44885</v>
      </c>
      <c r="C237" s="1">
        <f>_xlfn.IFNA(_xlfn.XLOOKUP(B237,Data_22_23[Date],Data_22_23[Balance],NA(),0,-1),Monthly_Data!C236)</f>
        <v>111374</v>
      </c>
    </row>
    <row r="238" spans="2:3" x14ac:dyDescent="0.25">
      <c r="B238" s="30">
        <v>44886</v>
      </c>
      <c r="C238" s="1">
        <f>_xlfn.IFNA(_xlfn.XLOOKUP(B238,Data_22_23[Date],Data_22_23[Balance],NA(),0,-1),Monthly_Data!C237)</f>
        <v>111374</v>
      </c>
    </row>
    <row r="239" spans="2:3" x14ac:dyDescent="0.25">
      <c r="B239" s="30">
        <v>44887</v>
      </c>
      <c r="C239" s="1">
        <f>_xlfn.IFNA(_xlfn.XLOOKUP(B239,Data_22_23[Date],Data_22_23[Balance],NA(),0,-1),Monthly_Data!C238)</f>
        <v>111374</v>
      </c>
    </row>
    <row r="240" spans="2:3" x14ac:dyDescent="0.25">
      <c r="B240" s="30">
        <v>44888</v>
      </c>
      <c r="C240" s="1">
        <f>_xlfn.IFNA(_xlfn.XLOOKUP(B240,Data_22_23[Date],Data_22_23[Balance],NA(),0,-1),Monthly_Data!C239)</f>
        <v>111374</v>
      </c>
    </row>
    <row r="241" spans="2:3" x14ac:dyDescent="0.25">
      <c r="B241" s="30">
        <v>44889</v>
      </c>
      <c r="C241" s="1">
        <f>_xlfn.IFNA(_xlfn.XLOOKUP(B241,Data_22_23[Date],Data_22_23[Balance],NA(),0,-1),Monthly_Data!C240)</f>
        <v>111374</v>
      </c>
    </row>
    <row r="242" spans="2:3" x14ac:dyDescent="0.25">
      <c r="B242" s="30">
        <v>44890</v>
      </c>
      <c r="C242" s="1">
        <f>_xlfn.IFNA(_xlfn.XLOOKUP(B242,Data_22_23[Date],Data_22_23[Balance],NA(),0,-1),Monthly_Data!C241)</f>
        <v>111374</v>
      </c>
    </row>
    <row r="243" spans="2:3" x14ac:dyDescent="0.25">
      <c r="B243" s="30">
        <v>44891</v>
      </c>
      <c r="C243" s="1">
        <f>_xlfn.IFNA(_xlfn.XLOOKUP(B243,Data_22_23[Date],Data_22_23[Balance],NA(),0,-1),Monthly_Data!C242)</f>
        <v>111374</v>
      </c>
    </row>
    <row r="244" spans="2:3" x14ac:dyDescent="0.25">
      <c r="B244" s="30">
        <v>44892</v>
      </c>
      <c r="C244" s="1">
        <f>_xlfn.IFNA(_xlfn.XLOOKUP(B244,Data_22_23[Date],Data_22_23[Balance],NA(),0,-1),Monthly_Data!C243)</f>
        <v>111374</v>
      </c>
    </row>
    <row r="245" spans="2:3" x14ac:dyDescent="0.25">
      <c r="B245" s="30">
        <v>44893</v>
      </c>
      <c r="C245" s="1">
        <f>_xlfn.IFNA(_xlfn.XLOOKUP(B245,Data_22_23[Date],Data_22_23[Balance],NA(),0,-1),Monthly_Data!C244)</f>
        <v>111374</v>
      </c>
    </row>
    <row r="246" spans="2:3" x14ac:dyDescent="0.25">
      <c r="B246" s="30">
        <v>44894</v>
      </c>
      <c r="C246" s="1">
        <f>_xlfn.IFNA(_xlfn.XLOOKUP(B246,Data_22_23[Date],Data_22_23[Balance],NA(),0,-1),Monthly_Data!C245)</f>
        <v>111374</v>
      </c>
    </row>
    <row r="247" spans="2:3" x14ac:dyDescent="0.25">
      <c r="B247" s="30">
        <v>44895</v>
      </c>
      <c r="C247" s="1">
        <f>_xlfn.IFNA(_xlfn.XLOOKUP(B247,Data_22_23[Date],Data_22_23[Balance],NA(),0,-1),Monthly_Data!C246)</f>
        <v>111374</v>
      </c>
    </row>
    <row r="248" spans="2:3" x14ac:dyDescent="0.25">
      <c r="B248" s="30">
        <v>44896</v>
      </c>
      <c r="C248" s="1">
        <f>_xlfn.IFNA(_xlfn.XLOOKUP(B248,Data_22_23[Date],Data_22_23[Balance],NA(),0,-1),Monthly_Data!C247)</f>
        <v>111374</v>
      </c>
    </row>
    <row r="249" spans="2:3" x14ac:dyDescent="0.25">
      <c r="B249" s="30">
        <v>44897</v>
      </c>
      <c r="C249" s="1">
        <f>_xlfn.IFNA(_xlfn.XLOOKUP(B249,Data_22_23[Date],Data_22_23[Balance],NA(),0,-1),Monthly_Data!C248)</f>
        <v>111374</v>
      </c>
    </row>
    <row r="250" spans="2:3" x14ac:dyDescent="0.25">
      <c r="B250" s="30">
        <v>44898</v>
      </c>
      <c r="C250" s="1">
        <f>_xlfn.IFNA(_xlfn.XLOOKUP(B250,Data_22_23[Date],Data_22_23[Balance],NA(),0,-1),Monthly_Data!C249)</f>
        <v>111374</v>
      </c>
    </row>
    <row r="251" spans="2:3" x14ac:dyDescent="0.25">
      <c r="B251" s="30">
        <v>44899</v>
      </c>
      <c r="C251" s="1">
        <f>_xlfn.IFNA(_xlfn.XLOOKUP(B251,Data_22_23[Date],Data_22_23[Balance],NA(),0,-1),Monthly_Data!C250)</f>
        <v>111374</v>
      </c>
    </row>
    <row r="252" spans="2:3" x14ac:dyDescent="0.25">
      <c r="B252" s="30">
        <v>44900</v>
      </c>
      <c r="C252" s="1">
        <f>_xlfn.IFNA(_xlfn.XLOOKUP(B252,Data_22_23[Date],Data_22_23[Balance],NA(),0,-1),Monthly_Data!C251)</f>
        <v>111374</v>
      </c>
    </row>
    <row r="253" spans="2:3" x14ac:dyDescent="0.25">
      <c r="B253" s="30">
        <v>44901</v>
      </c>
      <c r="C253" s="1">
        <f>_xlfn.IFNA(_xlfn.XLOOKUP(B253,Data_22_23[Date],Data_22_23[Balance],NA(),0,-1),Monthly_Data!C252)</f>
        <v>111374</v>
      </c>
    </row>
    <row r="254" spans="2:3" x14ac:dyDescent="0.25">
      <c r="B254" s="30">
        <v>44902</v>
      </c>
      <c r="C254" s="1">
        <f>_xlfn.IFNA(_xlfn.XLOOKUP(B254,Data_22_23[Date],Data_22_23[Balance],NA(),0,-1),Monthly_Data!C253)</f>
        <v>111374</v>
      </c>
    </row>
    <row r="255" spans="2:3" x14ac:dyDescent="0.25">
      <c r="B255" s="30">
        <v>44903</v>
      </c>
      <c r="C255" s="1">
        <f>_xlfn.IFNA(_xlfn.XLOOKUP(B255,Data_22_23[Date],Data_22_23[Balance],NA(),0,-1),Monthly_Data!C254)</f>
        <v>111374</v>
      </c>
    </row>
    <row r="256" spans="2:3" x14ac:dyDescent="0.25">
      <c r="B256" s="30">
        <v>44904</v>
      </c>
      <c r="C256" s="1">
        <f>_xlfn.IFNA(_xlfn.XLOOKUP(B256,Data_22_23[Date],Data_22_23[Balance],NA(),0,-1),Monthly_Data!C255)</f>
        <v>111374</v>
      </c>
    </row>
    <row r="257" spans="2:3" x14ac:dyDescent="0.25">
      <c r="B257" s="30">
        <v>44905</v>
      </c>
      <c r="C257" s="1">
        <f>_xlfn.IFNA(_xlfn.XLOOKUP(B257,Data_22_23[Date],Data_22_23[Balance],NA(),0,-1),Monthly_Data!C256)</f>
        <v>111374</v>
      </c>
    </row>
    <row r="258" spans="2:3" x14ac:dyDescent="0.25">
      <c r="B258" s="30">
        <v>44906</v>
      </c>
      <c r="C258" s="1">
        <f>_xlfn.IFNA(_xlfn.XLOOKUP(B258,Data_22_23[Date],Data_22_23[Balance],NA(),0,-1),Monthly_Data!C257)</f>
        <v>111374</v>
      </c>
    </row>
    <row r="259" spans="2:3" x14ac:dyDescent="0.25">
      <c r="B259" s="30">
        <v>44907</v>
      </c>
      <c r="C259" s="1">
        <f>_xlfn.IFNA(_xlfn.XLOOKUP(B259,Data_22_23[Date],Data_22_23[Balance],NA(),0,-1),Monthly_Data!C258)</f>
        <v>111374</v>
      </c>
    </row>
    <row r="260" spans="2:3" x14ac:dyDescent="0.25">
      <c r="B260" s="30">
        <v>44908</v>
      </c>
      <c r="C260" s="1">
        <f>_xlfn.IFNA(_xlfn.XLOOKUP(B260,Data_22_23[Date],Data_22_23[Balance],NA(),0,-1),Monthly_Data!C259)</f>
        <v>111374</v>
      </c>
    </row>
    <row r="261" spans="2:3" x14ac:dyDescent="0.25">
      <c r="B261" s="30">
        <v>44909</v>
      </c>
      <c r="C261" s="1">
        <f>_xlfn.IFNA(_xlfn.XLOOKUP(B261,Data_22_23[Date],Data_22_23[Balance],NA(),0,-1),Monthly_Data!C260)</f>
        <v>111374</v>
      </c>
    </row>
    <row r="262" spans="2:3" x14ac:dyDescent="0.25">
      <c r="B262" s="30">
        <v>44910</v>
      </c>
      <c r="C262" s="1">
        <f>_xlfn.IFNA(_xlfn.XLOOKUP(B262,Data_22_23[Date],Data_22_23[Balance],NA(),0,-1),Monthly_Data!C261)</f>
        <v>111374</v>
      </c>
    </row>
    <row r="263" spans="2:3" x14ac:dyDescent="0.25">
      <c r="B263" s="30">
        <v>44911</v>
      </c>
      <c r="C263" s="1">
        <f>_xlfn.IFNA(_xlfn.XLOOKUP(B263,Data_22_23[Date],Data_22_23[Balance],NA(),0,-1),Monthly_Data!C262)</f>
        <v>111374</v>
      </c>
    </row>
    <row r="264" spans="2:3" x14ac:dyDescent="0.25">
      <c r="B264" s="30">
        <v>44912</v>
      </c>
      <c r="C264" s="1">
        <f>_xlfn.IFNA(_xlfn.XLOOKUP(B264,Data_22_23[Date],Data_22_23[Balance],NA(),0,-1),Monthly_Data!C263)</f>
        <v>111374</v>
      </c>
    </row>
    <row r="265" spans="2:3" x14ac:dyDescent="0.25">
      <c r="B265" s="30">
        <v>44913</v>
      </c>
      <c r="C265" s="1">
        <f>_xlfn.IFNA(_xlfn.XLOOKUP(B265,Data_22_23[Date],Data_22_23[Balance],NA(),0,-1),Monthly_Data!C264)</f>
        <v>111374</v>
      </c>
    </row>
    <row r="266" spans="2:3" x14ac:dyDescent="0.25">
      <c r="B266" s="30">
        <v>44914</v>
      </c>
      <c r="C266" s="1">
        <f>_xlfn.IFNA(_xlfn.XLOOKUP(B266,Data_22_23[Date],Data_22_23[Balance],NA(),0,-1),Monthly_Data!C265)</f>
        <v>80374</v>
      </c>
    </row>
    <row r="267" spans="2:3" x14ac:dyDescent="0.25">
      <c r="B267" s="30">
        <v>44915</v>
      </c>
      <c r="C267" s="1">
        <f>_xlfn.IFNA(_xlfn.XLOOKUP(B267,Data_22_23[Date],Data_22_23[Balance],NA(),0,-1),Monthly_Data!C266)</f>
        <v>80374</v>
      </c>
    </row>
    <row r="268" spans="2:3" x14ac:dyDescent="0.25">
      <c r="B268" s="30">
        <v>44916</v>
      </c>
      <c r="C268" s="1">
        <f>_xlfn.IFNA(_xlfn.XLOOKUP(B268,Data_22_23[Date],Data_22_23[Balance],NA(),0,-1),Monthly_Data!C267)</f>
        <v>80374</v>
      </c>
    </row>
    <row r="269" spans="2:3" x14ac:dyDescent="0.25">
      <c r="B269" s="30">
        <v>44917</v>
      </c>
      <c r="C269" s="1">
        <f>_xlfn.IFNA(_xlfn.XLOOKUP(B269,Data_22_23[Date],Data_22_23[Balance],NA(),0,-1),Monthly_Data!C268)</f>
        <v>80374</v>
      </c>
    </row>
    <row r="270" spans="2:3" x14ac:dyDescent="0.25">
      <c r="B270" s="30">
        <v>44918</v>
      </c>
      <c r="C270" s="1">
        <f>_xlfn.IFNA(_xlfn.XLOOKUP(B270,Data_22_23[Date],Data_22_23[Balance],NA(),0,-1),Monthly_Data!C269)</f>
        <v>80374</v>
      </c>
    </row>
    <row r="271" spans="2:3" x14ac:dyDescent="0.25">
      <c r="B271" s="30">
        <v>44919</v>
      </c>
      <c r="C271" s="1">
        <f>_xlfn.IFNA(_xlfn.XLOOKUP(B271,Data_22_23[Date],Data_22_23[Balance],NA(),0,-1),Monthly_Data!C270)</f>
        <v>80374</v>
      </c>
    </row>
    <row r="272" spans="2:3" x14ac:dyDescent="0.25">
      <c r="B272" s="30">
        <v>44920</v>
      </c>
      <c r="C272" s="1">
        <f>_xlfn.IFNA(_xlfn.XLOOKUP(B272,Data_22_23[Date],Data_22_23[Balance],NA(),0,-1),Monthly_Data!C271)</f>
        <v>80374</v>
      </c>
    </row>
    <row r="273" spans="2:3" x14ac:dyDescent="0.25">
      <c r="B273" s="30">
        <v>44921</v>
      </c>
      <c r="C273" s="1">
        <f>_xlfn.IFNA(_xlfn.XLOOKUP(B273,Data_22_23[Date],Data_22_23[Balance],NA(),0,-1),Monthly_Data!C272)</f>
        <v>80374</v>
      </c>
    </row>
    <row r="274" spans="2:3" x14ac:dyDescent="0.25">
      <c r="B274" s="30">
        <v>44922</v>
      </c>
      <c r="C274" s="1">
        <f>_xlfn.IFNA(_xlfn.XLOOKUP(B274,Data_22_23[Date],Data_22_23[Balance],NA(),0,-1),Monthly_Data!C273)</f>
        <v>80374</v>
      </c>
    </row>
    <row r="275" spans="2:3" x14ac:dyDescent="0.25">
      <c r="B275" s="30">
        <v>44923</v>
      </c>
      <c r="C275" s="1">
        <f>_xlfn.IFNA(_xlfn.XLOOKUP(B275,Data_22_23[Date],Data_22_23[Balance],NA(),0,-1),Monthly_Data!C274)</f>
        <v>80374</v>
      </c>
    </row>
    <row r="276" spans="2:3" x14ac:dyDescent="0.25">
      <c r="B276" s="30">
        <v>44924</v>
      </c>
      <c r="C276" s="1">
        <f>_xlfn.IFNA(_xlfn.XLOOKUP(B276,Data_22_23[Date],Data_22_23[Balance],NA(),0,-1),Monthly_Data!C275)</f>
        <v>80374</v>
      </c>
    </row>
    <row r="277" spans="2:3" x14ac:dyDescent="0.25">
      <c r="B277" s="30">
        <v>44925</v>
      </c>
      <c r="C277" s="1">
        <f>_xlfn.IFNA(_xlfn.XLOOKUP(B277,Data_22_23[Date],Data_22_23[Balance],NA(),0,-1),Monthly_Data!C276)</f>
        <v>80374</v>
      </c>
    </row>
    <row r="278" spans="2:3" x14ac:dyDescent="0.25">
      <c r="B278" s="30">
        <v>44926</v>
      </c>
      <c r="C278" s="1">
        <f>_xlfn.IFNA(_xlfn.XLOOKUP(B278,Data_22_23[Date],Data_22_23[Balance],NA(),0,-1),Monthly_Data!C277)</f>
        <v>80374</v>
      </c>
    </row>
    <row r="279" spans="2:3" x14ac:dyDescent="0.25">
      <c r="B279" s="30">
        <v>44927</v>
      </c>
      <c r="C279" s="1">
        <f>_xlfn.IFNA(_xlfn.XLOOKUP(B279,Data_22_23[Date],Data_22_23[Balance],NA(),0,-1),Monthly_Data!C278)</f>
        <v>80374</v>
      </c>
    </row>
    <row r="280" spans="2:3" x14ac:dyDescent="0.25">
      <c r="B280" s="30">
        <v>44928</v>
      </c>
      <c r="C280" s="1">
        <f>_xlfn.IFNA(_xlfn.XLOOKUP(B280,Data_22_23[Date],Data_22_23[Balance],NA(),0,-1),Monthly_Data!C279)</f>
        <v>80374</v>
      </c>
    </row>
    <row r="281" spans="2:3" x14ac:dyDescent="0.25">
      <c r="B281" s="30">
        <v>44929</v>
      </c>
      <c r="C281" s="1">
        <f>_xlfn.IFNA(_xlfn.XLOOKUP(B281,Data_22_23[Date],Data_22_23[Balance],NA(),0,-1),Monthly_Data!C280)</f>
        <v>80374</v>
      </c>
    </row>
    <row r="282" spans="2:3" x14ac:dyDescent="0.25">
      <c r="B282" s="30">
        <v>44930</v>
      </c>
      <c r="C282" s="1">
        <f>_xlfn.IFNA(_xlfn.XLOOKUP(B282,Data_22_23[Date],Data_22_23[Balance],NA(),0,-1),Monthly_Data!C281)</f>
        <v>80374</v>
      </c>
    </row>
    <row r="283" spans="2:3" x14ac:dyDescent="0.25">
      <c r="B283" s="30">
        <v>44931</v>
      </c>
      <c r="C283" s="1">
        <f>_xlfn.IFNA(_xlfn.XLOOKUP(B283,Data_22_23[Date],Data_22_23[Balance],NA(),0,-1),Monthly_Data!C282)</f>
        <v>80374</v>
      </c>
    </row>
    <row r="284" spans="2:3" x14ac:dyDescent="0.25">
      <c r="B284" s="30">
        <v>44932</v>
      </c>
      <c r="C284" s="1">
        <f>_xlfn.IFNA(_xlfn.XLOOKUP(B284,Data_22_23[Date],Data_22_23[Balance],NA(),0,-1),Monthly_Data!C283)</f>
        <v>80374</v>
      </c>
    </row>
    <row r="285" spans="2:3" x14ac:dyDescent="0.25">
      <c r="B285" s="30">
        <v>44933</v>
      </c>
      <c r="C285" s="1">
        <f>_xlfn.IFNA(_xlfn.XLOOKUP(B285,Data_22_23[Date],Data_22_23[Balance],NA(),0,-1),Monthly_Data!C284)</f>
        <v>80374</v>
      </c>
    </row>
    <row r="286" spans="2:3" x14ac:dyDescent="0.25">
      <c r="B286" s="30">
        <v>44934</v>
      </c>
      <c r="C286" s="1">
        <f>_xlfn.IFNA(_xlfn.XLOOKUP(B286,Data_22_23[Date],Data_22_23[Balance],NA(),0,-1),Monthly_Data!C285)</f>
        <v>80374</v>
      </c>
    </row>
    <row r="287" spans="2:3" x14ac:dyDescent="0.25">
      <c r="B287" s="30">
        <v>44935</v>
      </c>
      <c r="C287" s="1">
        <f>_xlfn.IFNA(_xlfn.XLOOKUP(B287,Data_22_23[Date],Data_22_23[Balance],NA(),0,-1),Monthly_Data!C286)</f>
        <v>80374</v>
      </c>
    </row>
    <row r="288" spans="2:3" x14ac:dyDescent="0.25">
      <c r="B288" s="30">
        <v>44936</v>
      </c>
      <c r="C288" s="1">
        <f>_xlfn.IFNA(_xlfn.XLOOKUP(B288,Data_22_23[Date],Data_22_23[Balance],NA(),0,-1),Monthly_Data!C287)</f>
        <v>80374</v>
      </c>
    </row>
    <row r="289" spans="2:3" x14ac:dyDescent="0.25">
      <c r="B289" s="30">
        <v>44937</v>
      </c>
      <c r="C289" s="1">
        <f>_xlfn.IFNA(_xlfn.XLOOKUP(B289,Data_22_23[Date],Data_22_23[Balance],NA(),0,-1),Monthly_Data!C288)</f>
        <v>80374</v>
      </c>
    </row>
    <row r="290" spans="2:3" x14ac:dyDescent="0.25">
      <c r="B290" s="30">
        <v>44938</v>
      </c>
      <c r="C290" s="1">
        <f>_xlfn.IFNA(_xlfn.XLOOKUP(B290,Data_22_23[Date],Data_22_23[Balance],NA(),0,-1),Monthly_Data!C289)</f>
        <v>80374</v>
      </c>
    </row>
    <row r="291" spans="2:3" x14ac:dyDescent="0.25">
      <c r="B291" s="30">
        <v>44939</v>
      </c>
      <c r="C291" s="1">
        <f>_xlfn.IFNA(_xlfn.XLOOKUP(B291,Data_22_23[Date],Data_22_23[Balance],NA(),0,-1),Monthly_Data!C290)</f>
        <v>80374</v>
      </c>
    </row>
    <row r="292" spans="2:3" x14ac:dyDescent="0.25">
      <c r="B292" s="30">
        <v>44940</v>
      </c>
      <c r="C292" s="1">
        <f>_xlfn.IFNA(_xlfn.XLOOKUP(B292,Data_22_23[Date],Data_22_23[Balance],NA(),0,-1),Monthly_Data!C291)</f>
        <v>80374</v>
      </c>
    </row>
    <row r="293" spans="2:3" x14ac:dyDescent="0.25">
      <c r="B293" s="30">
        <v>44941</v>
      </c>
      <c r="C293" s="1">
        <f>_xlfn.IFNA(_xlfn.XLOOKUP(B293,Data_22_23[Date],Data_22_23[Balance],NA(),0,-1),Monthly_Data!C292)</f>
        <v>80374</v>
      </c>
    </row>
    <row r="294" spans="2:3" x14ac:dyDescent="0.25">
      <c r="B294" s="30">
        <v>44942</v>
      </c>
      <c r="C294" s="1">
        <f>_xlfn.IFNA(_xlfn.XLOOKUP(B294,Data_22_23[Date],Data_22_23[Balance],NA(),0,-1),Monthly_Data!C293)</f>
        <v>80374</v>
      </c>
    </row>
    <row r="295" spans="2:3" x14ac:dyDescent="0.25">
      <c r="B295" s="30">
        <v>44943</v>
      </c>
      <c r="C295" s="1">
        <f>_xlfn.IFNA(_xlfn.XLOOKUP(B295,Data_22_23[Date],Data_22_23[Balance],NA(),0,-1),Monthly_Data!C294)</f>
        <v>80374</v>
      </c>
    </row>
    <row r="296" spans="2:3" x14ac:dyDescent="0.25">
      <c r="B296" s="30">
        <v>44944</v>
      </c>
      <c r="C296" s="1">
        <f>_xlfn.IFNA(_xlfn.XLOOKUP(B296,Data_22_23[Date],Data_22_23[Balance],NA(),0,-1),Monthly_Data!C295)</f>
        <v>80374</v>
      </c>
    </row>
    <row r="297" spans="2:3" x14ac:dyDescent="0.25">
      <c r="B297" s="30">
        <v>44945</v>
      </c>
      <c r="C297" s="1">
        <f>_xlfn.IFNA(_xlfn.XLOOKUP(B297,Data_22_23[Date],Data_22_23[Balance],NA(),0,-1),Monthly_Data!C296)</f>
        <v>80374</v>
      </c>
    </row>
    <row r="298" spans="2:3" x14ac:dyDescent="0.25">
      <c r="B298" s="30">
        <v>44946</v>
      </c>
      <c r="C298" s="1">
        <f>_xlfn.IFNA(_xlfn.XLOOKUP(B298,Data_22_23[Date],Data_22_23[Balance],NA(),0,-1),Monthly_Data!C297)</f>
        <v>80374</v>
      </c>
    </row>
    <row r="299" spans="2:3" x14ac:dyDescent="0.25">
      <c r="B299" s="30">
        <v>44947</v>
      </c>
      <c r="C299" s="1">
        <f>_xlfn.IFNA(_xlfn.XLOOKUP(B299,Data_22_23[Date],Data_22_23[Balance],NA(),0,-1),Monthly_Data!C298)</f>
        <v>80374</v>
      </c>
    </row>
    <row r="300" spans="2:3" x14ac:dyDescent="0.25">
      <c r="B300" s="30">
        <v>44948</v>
      </c>
      <c r="C300" s="1">
        <f>_xlfn.IFNA(_xlfn.XLOOKUP(B300,Data_22_23[Date],Data_22_23[Balance],NA(),0,-1),Monthly_Data!C299)</f>
        <v>80374</v>
      </c>
    </row>
    <row r="301" spans="2:3" x14ac:dyDescent="0.25">
      <c r="B301" s="30">
        <v>44949</v>
      </c>
      <c r="C301" s="1">
        <f>_xlfn.IFNA(_xlfn.XLOOKUP(B301,Data_22_23[Date],Data_22_23[Balance],NA(),0,-1),Monthly_Data!C300)</f>
        <v>80374</v>
      </c>
    </row>
    <row r="302" spans="2:3" x14ac:dyDescent="0.25">
      <c r="B302" s="30">
        <v>44950</v>
      </c>
      <c r="C302" s="1">
        <f>_xlfn.IFNA(_xlfn.XLOOKUP(B302,Data_22_23[Date],Data_22_23[Balance],NA(),0,-1),Monthly_Data!C301)</f>
        <v>80374</v>
      </c>
    </row>
    <row r="303" spans="2:3" x14ac:dyDescent="0.25">
      <c r="B303" s="30">
        <v>44951</v>
      </c>
      <c r="C303" s="1">
        <f>_xlfn.IFNA(_xlfn.XLOOKUP(B303,Data_22_23[Date],Data_22_23[Balance],NA(),0,-1),Monthly_Data!C302)</f>
        <v>80374</v>
      </c>
    </row>
    <row r="304" spans="2:3" x14ac:dyDescent="0.25">
      <c r="B304" s="30">
        <v>44952</v>
      </c>
      <c r="C304" s="1">
        <f>_xlfn.IFNA(_xlfn.XLOOKUP(B304,Data_22_23[Date],Data_22_23[Balance],NA(),0,-1),Monthly_Data!C303)</f>
        <v>80374</v>
      </c>
    </row>
    <row r="305" spans="2:3" x14ac:dyDescent="0.25">
      <c r="B305" s="30">
        <v>44953</v>
      </c>
      <c r="C305" s="1">
        <f>_xlfn.IFNA(_xlfn.XLOOKUP(B305,Data_22_23[Date],Data_22_23[Balance],NA(),0,-1),Monthly_Data!C304)</f>
        <v>80374</v>
      </c>
    </row>
    <row r="306" spans="2:3" x14ac:dyDescent="0.25">
      <c r="B306" s="30">
        <v>44954</v>
      </c>
      <c r="C306" s="1">
        <f>_xlfn.IFNA(_xlfn.XLOOKUP(B306,Data_22_23[Date],Data_22_23[Balance],NA(),0,-1),Monthly_Data!C305)</f>
        <v>80374</v>
      </c>
    </row>
    <row r="307" spans="2:3" x14ac:dyDescent="0.25">
      <c r="B307" s="30">
        <v>44955</v>
      </c>
      <c r="C307" s="1">
        <f>_xlfn.IFNA(_xlfn.XLOOKUP(B307,Data_22_23[Date],Data_22_23[Balance],NA(),0,-1),Monthly_Data!C306)</f>
        <v>80374</v>
      </c>
    </row>
    <row r="308" spans="2:3" x14ac:dyDescent="0.25">
      <c r="B308" s="30">
        <v>44956</v>
      </c>
      <c r="C308" s="1">
        <f>_xlfn.IFNA(_xlfn.XLOOKUP(B308,Data_22_23[Date],Data_22_23[Balance],NA(),0,-1),Monthly_Data!C307)</f>
        <v>80374</v>
      </c>
    </row>
    <row r="309" spans="2:3" x14ac:dyDescent="0.25">
      <c r="B309" s="30">
        <v>44957</v>
      </c>
      <c r="C309" s="1">
        <f>_xlfn.IFNA(_xlfn.XLOOKUP(B309,Data_22_23[Date],Data_22_23[Balance],NA(),0,-1),Monthly_Data!C308)</f>
        <v>80374</v>
      </c>
    </row>
    <row r="310" spans="2:3" x14ac:dyDescent="0.25">
      <c r="B310" s="30">
        <v>44958</v>
      </c>
      <c r="C310" s="1">
        <f>_xlfn.IFNA(_xlfn.XLOOKUP(B310,Data_22_23[Date],Data_22_23[Balance],NA(),0,-1),Monthly_Data!C309)</f>
        <v>80374</v>
      </c>
    </row>
    <row r="311" spans="2:3" x14ac:dyDescent="0.25">
      <c r="B311" s="30">
        <v>44959</v>
      </c>
      <c r="C311" s="1">
        <f>_xlfn.IFNA(_xlfn.XLOOKUP(B311,Data_22_23[Date],Data_22_23[Balance],NA(),0,-1),Monthly_Data!C310)</f>
        <v>80374</v>
      </c>
    </row>
    <row r="312" spans="2:3" x14ac:dyDescent="0.25">
      <c r="B312" s="30">
        <v>44960</v>
      </c>
      <c r="C312" s="1">
        <f>_xlfn.IFNA(_xlfn.XLOOKUP(B312,Data_22_23[Date],Data_22_23[Balance],NA(),0,-1),Monthly_Data!C311)</f>
        <v>80374</v>
      </c>
    </row>
    <row r="313" spans="2:3" x14ac:dyDescent="0.25">
      <c r="B313" s="30">
        <v>44961</v>
      </c>
      <c r="C313" s="1">
        <f>_xlfn.IFNA(_xlfn.XLOOKUP(B313,Data_22_23[Date],Data_22_23[Balance],NA(),0,-1),Monthly_Data!C312)</f>
        <v>80374</v>
      </c>
    </row>
    <row r="314" spans="2:3" x14ac:dyDescent="0.25">
      <c r="B314" s="30">
        <v>44962</v>
      </c>
      <c r="C314" s="1">
        <f>_xlfn.IFNA(_xlfn.XLOOKUP(B314,Data_22_23[Date],Data_22_23[Balance],NA(),0,-1),Monthly_Data!C313)</f>
        <v>80374</v>
      </c>
    </row>
    <row r="315" spans="2:3" x14ac:dyDescent="0.25">
      <c r="B315" s="30">
        <v>44963</v>
      </c>
      <c r="C315" s="1">
        <f>_xlfn.IFNA(_xlfn.XLOOKUP(B315,Data_22_23[Date],Data_22_23[Balance],NA(),0,-1),Monthly_Data!C314)</f>
        <v>80374</v>
      </c>
    </row>
    <row r="316" spans="2:3" x14ac:dyDescent="0.25">
      <c r="B316" s="30">
        <v>44964</v>
      </c>
      <c r="C316" s="1">
        <f>_xlfn.IFNA(_xlfn.XLOOKUP(B316,Data_22_23[Date],Data_22_23[Balance],NA(),0,-1),Monthly_Data!C315)</f>
        <v>80374</v>
      </c>
    </row>
    <row r="317" spans="2:3" x14ac:dyDescent="0.25">
      <c r="B317" s="30">
        <v>44965</v>
      </c>
      <c r="C317" s="1">
        <f>_xlfn.IFNA(_xlfn.XLOOKUP(B317,Data_22_23[Date],Data_22_23[Balance],NA(),0,-1),Monthly_Data!C316)</f>
        <v>80374</v>
      </c>
    </row>
    <row r="318" spans="2:3" x14ac:dyDescent="0.25">
      <c r="B318" s="30">
        <v>44966</v>
      </c>
      <c r="C318" s="1">
        <f>_xlfn.IFNA(_xlfn.XLOOKUP(B318,Data_22_23[Date],Data_22_23[Balance],NA(),0,-1),Monthly_Data!C317)</f>
        <v>80374</v>
      </c>
    </row>
    <row r="319" spans="2:3" x14ac:dyDescent="0.25">
      <c r="B319" s="30">
        <v>44967</v>
      </c>
      <c r="C319" s="1">
        <f>_xlfn.IFNA(_xlfn.XLOOKUP(B319,Data_22_23[Date],Data_22_23[Balance],NA(),0,-1),Monthly_Data!C318)</f>
        <v>80374</v>
      </c>
    </row>
    <row r="320" spans="2:3" x14ac:dyDescent="0.25">
      <c r="B320" s="30">
        <v>44968</v>
      </c>
      <c r="C320" s="1">
        <f>_xlfn.IFNA(_xlfn.XLOOKUP(B320,Data_22_23[Date],Data_22_23[Balance],NA(),0,-1),Monthly_Data!C319)</f>
        <v>80374</v>
      </c>
    </row>
    <row r="321" spans="2:3" x14ac:dyDescent="0.25">
      <c r="B321" s="30">
        <v>44969</v>
      </c>
      <c r="C321" s="1">
        <f>_xlfn.IFNA(_xlfn.XLOOKUP(B321,Data_22_23[Date],Data_22_23[Balance],NA(),0,-1),Monthly_Data!C320)</f>
        <v>80374</v>
      </c>
    </row>
    <row r="322" spans="2:3" x14ac:dyDescent="0.25">
      <c r="B322" s="30">
        <v>44970</v>
      </c>
      <c r="C322" s="1">
        <f>_xlfn.IFNA(_xlfn.XLOOKUP(B322,Data_22_23[Date],Data_22_23[Balance],NA(),0,-1),Monthly_Data!C321)</f>
        <v>80374</v>
      </c>
    </row>
    <row r="323" spans="2:3" x14ac:dyDescent="0.25">
      <c r="B323" s="30">
        <v>44971</v>
      </c>
      <c r="C323" s="1">
        <f>_xlfn.IFNA(_xlfn.XLOOKUP(B323,Data_22_23[Date],Data_22_23[Balance],NA(),0,-1),Monthly_Data!C322)</f>
        <v>80374</v>
      </c>
    </row>
    <row r="324" spans="2:3" x14ac:dyDescent="0.25">
      <c r="B324" s="30">
        <v>44972</v>
      </c>
      <c r="C324" s="1">
        <f>_xlfn.IFNA(_xlfn.XLOOKUP(B324,Data_22_23[Date],Data_22_23[Balance],NA(),0,-1),Monthly_Data!C323)</f>
        <v>80374</v>
      </c>
    </row>
    <row r="325" spans="2:3" x14ac:dyDescent="0.25">
      <c r="B325" s="30">
        <v>44973</v>
      </c>
      <c r="C325" s="1">
        <f>_xlfn.IFNA(_xlfn.XLOOKUP(B325,Data_22_23[Date],Data_22_23[Balance],NA(),0,-1),Monthly_Data!C324)</f>
        <v>80374</v>
      </c>
    </row>
    <row r="326" spans="2:3" x14ac:dyDescent="0.25">
      <c r="B326" s="30">
        <v>44974</v>
      </c>
      <c r="C326" s="1">
        <f>_xlfn.IFNA(_xlfn.XLOOKUP(B326,Data_22_23[Date],Data_22_23[Balance],NA(),0,-1),Monthly_Data!C325)</f>
        <v>80374</v>
      </c>
    </row>
    <row r="327" spans="2:3" x14ac:dyDescent="0.25">
      <c r="B327" s="30">
        <v>44975</v>
      </c>
      <c r="C327" s="1">
        <f>_xlfn.IFNA(_xlfn.XLOOKUP(B327,Data_22_23[Date],Data_22_23[Balance],NA(),0,-1),Monthly_Data!C326)</f>
        <v>80374</v>
      </c>
    </row>
    <row r="328" spans="2:3" x14ac:dyDescent="0.25">
      <c r="B328" s="30">
        <v>44976</v>
      </c>
      <c r="C328" s="1">
        <f>_xlfn.IFNA(_xlfn.XLOOKUP(B328,Data_22_23[Date],Data_22_23[Balance],NA(),0,-1),Monthly_Data!C327)</f>
        <v>80374</v>
      </c>
    </row>
    <row r="329" spans="2:3" x14ac:dyDescent="0.25">
      <c r="B329" s="30">
        <v>44977</v>
      </c>
      <c r="C329" s="1">
        <f>_xlfn.IFNA(_xlfn.XLOOKUP(B329,Data_22_23[Date],Data_22_23[Balance],NA(),0,-1),Monthly_Data!C328)</f>
        <v>80374</v>
      </c>
    </row>
    <row r="330" spans="2:3" x14ac:dyDescent="0.25">
      <c r="B330" s="30">
        <v>44978</v>
      </c>
      <c r="C330" s="1">
        <f>_xlfn.IFNA(_xlfn.XLOOKUP(B330,Data_22_23[Date],Data_22_23[Balance],NA(),0,-1),Monthly_Data!C329)</f>
        <v>80374</v>
      </c>
    </row>
    <row r="331" spans="2:3" x14ac:dyDescent="0.25">
      <c r="B331" s="30">
        <v>44979</v>
      </c>
      <c r="C331" s="1">
        <f>_xlfn.IFNA(_xlfn.XLOOKUP(B331,Data_22_23[Date],Data_22_23[Balance],NA(),0,-1),Monthly_Data!C330)</f>
        <v>80374</v>
      </c>
    </row>
    <row r="332" spans="2:3" x14ac:dyDescent="0.25">
      <c r="B332" s="30">
        <v>44980</v>
      </c>
      <c r="C332" s="1">
        <f>_xlfn.IFNA(_xlfn.XLOOKUP(B332,Data_22_23[Date],Data_22_23[Balance],NA(),0,-1),Monthly_Data!C331)</f>
        <v>80374</v>
      </c>
    </row>
    <row r="333" spans="2:3" x14ac:dyDescent="0.25">
      <c r="B333" s="30">
        <v>44981</v>
      </c>
      <c r="C333" s="1">
        <f>_xlfn.IFNA(_xlfn.XLOOKUP(B333,Data_22_23[Date],Data_22_23[Balance],NA(),0,-1),Monthly_Data!C332)</f>
        <v>80374</v>
      </c>
    </row>
    <row r="334" spans="2:3" x14ac:dyDescent="0.25">
      <c r="B334" s="30">
        <v>44982</v>
      </c>
      <c r="C334" s="1">
        <f>_xlfn.IFNA(_xlfn.XLOOKUP(B334,Data_22_23[Date],Data_22_23[Balance],NA(),0,-1),Monthly_Data!C333)</f>
        <v>80374</v>
      </c>
    </row>
    <row r="335" spans="2:3" x14ac:dyDescent="0.25">
      <c r="B335" s="30">
        <v>44983</v>
      </c>
      <c r="C335" s="1">
        <f>_xlfn.IFNA(_xlfn.XLOOKUP(B335,Data_22_23[Date],Data_22_23[Balance],NA(),0,-1),Monthly_Data!C334)</f>
        <v>80374</v>
      </c>
    </row>
    <row r="336" spans="2:3" x14ac:dyDescent="0.25">
      <c r="B336" s="30">
        <v>44984</v>
      </c>
      <c r="C336" s="1">
        <f>_xlfn.IFNA(_xlfn.XLOOKUP(B336,Data_22_23[Date],Data_22_23[Balance],NA(),0,-1),Monthly_Data!C335)</f>
        <v>80374</v>
      </c>
    </row>
    <row r="337" spans="2:3" x14ac:dyDescent="0.25">
      <c r="B337" s="30">
        <v>44985</v>
      </c>
      <c r="C337" s="1">
        <f>_xlfn.IFNA(_xlfn.XLOOKUP(B337,Data_22_23[Date],Data_22_23[Balance],NA(),0,-1),Monthly_Data!C336)</f>
        <v>80374</v>
      </c>
    </row>
    <row r="338" spans="2:3" x14ac:dyDescent="0.25">
      <c r="B338" s="30">
        <v>44986</v>
      </c>
      <c r="C338" s="1">
        <f>_xlfn.IFNA(_xlfn.XLOOKUP(B338,Data_22_23[Date],Data_22_23[Balance],NA(),0,-1),Monthly_Data!C337)</f>
        <v>80374</v>
      </c>
    </row>
    <row r="339" spans="2:3" x14ac:dyDescent="0.25">
      <c r="B339" s="30">
        <v>44987</v>
      </c>
      <c r="C339" s="1">
        <f>_xlfn.IFNA(_xlfn.XLOOKUP(B339,Data_22_23[Date],Data_22_23[Balance],NA(),0,-1),Monthly_Data!C338)</f>
        <v>80374</v>
      </c>
    </row>
    <row r="340" spans="2:3" x14ac:dyDescent="0.25">
      <c r="B340" s="30">
        <v>44988</v>
      </c>
      <c r="C340" s="1">
        <f>_xlfn.IFNA(_xlfn.XLOOKUP(B340,Data_22_23[Date],Data_22_23[Balance],NA(),0,-1),Monthly_Data!C339)</f>
        <v>80374</v>
      </c>
    </row>
    <row r="341" spans="2:3" x14ac:dyDescent="0.25">
      <c r="B341" s="30">
        <v>44989</v>
      </c>
      <c r="C341" s="1">
        <f>_xlfn.IFNA(_xlfn.XLOOKUP(B341,Data_22_23[Date],Data_22_23[Balance],NA(),0,-1),Monthly_Data!C340)</f>
        <v>80374</v>
      </c>
    </row>
    <row r="342" spans="2:3" x14ac:dyDescent="0.25">
      <c r="B342" s="30">
        <v>44990</v>
      </c>
      <c r="C342" s="1">
        <f>_xlfn.IFNA(_xlfn.XLOOKUP(B342,Data_22_23[Date],Data_22_23[Balance],NA(),0,-1),Monthly_Data!C341)</f>
        <v>80374</v>
      </c>
    </row>
    <row r="343" spans="2:3" x14ac:dyDescent="0.25">
      <c r="B343" s="30">
        <v>44991</v>
      </c>
      <c r="C343" s="1">
        <f>_xlfn.IFNA(_xlfn.XLOOKUP(B343,Data_22_23[Date],Data_22_23[Balance],NA(),0,-1),Monthly_Data!C342)</f>
        <v>80374</v>
      </c>
    </row>
    <row r="344" spans="2:3" x14ac:dyDescent="0.25">
      <c r="B344" s="30">
        <v>44992</v>
      </c>
      <c r="C344" s="1">
        <f>_xlfn.IFNA(_xlfn.XLOOKUP(B344,Data_22_23[Date],Data_22_23[Balance],NA(),0,-1),Monthly_Data!C343)</f>
        <v>80374</v>
      </c>
    </row>
    <row r="345" spans="2:3" x14ac:dyDescent="0.25">
      <c r="B345" s="30">
        <v>44993</v>
      </c>
      <c r="C345" s="1">
        <f>_xlfn.IFNA(_xlfn.XLOOKUP(B345,Data_22_23[Date],Data_22_23[Balance],NA(),0,-1),Monthly_Data!C344)</f>
        <v>80374</v>
      </c>
    </row>
    <row r="346" spans="2:3" x14ac:dyDescent="0.25">
      <c r="B346" s="30">
        <v>44994</v>
      </c>
      <c r="C346" s="1">
        <f>_xlfn.IFNA(_xlfn.XLOOKUP(B346,Data_22_23[Date],Data_22_23[Balance],NA(),0,-1),Monthly_Data!C345)</f>
        <v>80374</v>
      </c>
    </row>
    <row r="347" spans="2:3" x14ac:dyDescent="0.25">
      <c r="B347" s="30">
        <v>44995</v>
      </c>
      <c r="C347" s="1">
        <f>_xlfn.IFNA(_xlfn.XLOOKUP(B347,Data_22_23[Date],Data_22_23[Balance],NA(),0,-1),Monthly_Data!C346)</f>
        <v>80374</v>
      </c>
    </row>
    <row r="348" spans="2:3" x14ac:dyDescent="0.25">
      <c r="B348" s="30">
        <v>44996</v>
      </c>
      <c r="C348" s="1">
        <f>_xlfn.IFNA(_xlfn.XLOOKUP(B348,Data_22_23[Date],Data_22_23[Balance],NA(),0,-1),Monthly_Data!C347)</f>
        <v>80374</v>
      </c>
    </row>
    <row r="349" spans="2:3" x14ac:dyDescent="0.25">
      <c r="B349" s="30">
        <v>44997</v>
      </c>
      <c r="C349" s="1">
        <f>_xlfn.IFNA(_xlfn.XLOOKUP(B349,Data_22_23[Date],Data_22_23[Balance],NA(),0,-1),Monthly_Data!C348)</f>
        <v>80374</v>
      </c>
    </row>
    <row r="350" spans="2:3" x14ac:dyDescent="0.25">
      <c r="B350" s="30">
        <v>44998</v>
      </c>
      <c r="C350" s="1">
        <f>_xlfn.IFNA(_xlfn.XLOOKUP(B350,Data_22_23[Date],Data_22_23[Balance],NA(),0,-1),Monthly_Data!C349)</f>
        <v>80374</v>
      </c>
    </row>
    <row r="351" spans="2:3" x14ac:dyDescent="0.25">
      <c r="B351" s="30">
        <v>44999</v>
      </c>
      <c r="C351" s="1">
        <f>_xlfn.IFNA(_xlfn.XLOOKUP(B351,Data_22_23[Date],Data_22_23[Balance],NA(),0,-1),Monthly_Data!C350)</f>
        <v>80374</v>
      </c>
    </row>
    <row r="352" spans="2:3" x14ac:dyDescent="0.25">
      <c r="B352" s="30">
        <v>45000</v>
      </c>
      <c r="C352" s="1">
        <f>_xlfn.IFNA(_xlfn.XLOOKUP(B352,Data_22_23[Date],Data_22_23[Balance],NA(),0,-1),Monthly_Data!C351)</f>
        <v>80374</v>
      </c>
    </row>
    <row r="353" spans="2:3" x14ac:dyDescent="0.25">
      <c r="B353" s="30">
        <v>45001</v>
      </c>
      <c r="C353" s="1">
        <f>_xlfn.IFNA(_xlfn.XLOOKUP(B353,Data_22_23[Date],Data_22_23[Balance],NA(),0,-1),Monthly_Data!C352)</f>
        <v>80374</v>
      </c>
    </row>
    <row r="354" spans="2:3" x14ac:dyDescent="0.25">
      <c r="B354" s="30">
        <v>45002</v>
      </c>
      <c r="C354" s="1">
        <f>_xlfn.IFNA(_xlfn.XLOOKUP(B354,Data_22_23[Date],Data_22_23[Balance],NA(),0,-1),Monthly_Data!C353)</f>
        <v>80374</v>
      </c>
    </row>
    <row r="355" spans="2:3" x14ac:dyDescent="0.25">
      <c r="B355" s="30">
        <v>45003</v>
      </c>
      <c r="C355" s="1">
        <f>_xlfn.IFNA(_xlfn.XLOOKUP(B355,Data_22_23[Date],Data_22_23[Balance],NA(),0,-1),Monthly_Data!C354)</f>
        <v>80374</v>
      </c>
    </row>
    <row r="356" spans="2:3" x14ac:dyDescent="0.25">
      <c r="B356" s="30">
        <v>45004</v>
      </c>
      <c r="C356" s="1">
        <f>_xlfn.IFNA(_xlfn.XLOOKUP(B356,Data_22_23[Date],Data_22_23[Balance],NA(),0,-1),Monthly_Data!C355)</f>
        <v>80374</v>
      </c>
    </row>
    <row r="357" spans="2:3" x14ac:dyDescent="0.25">
      <c r="B357" s="30">
        <v>45005</v>
      </c>
      <c r="C357" s="1">
        <f>_xlfn.IFNA(_xlfn.XLOOKUP(B357,Data_22_23[Date],Data_22_23[Balance],NA(),0,-1),Monthly_Data!C356)</f>
        <v>80374</v>
      </c>
    </row>
    <row r="358" spans="2:3" x14ac:dyDescent="0.25">
      <c r="B358" s="30">
        <v>45006</v>
      </c>
      <c r="C358" s="1">
        <f>_xlfn.IFNA(_xlfn.XLOOKUP(B358,Data_22_23[Date],Data_22_23[Balance],NA(),0,-1),Monthly_Data!C357)</f>
        <v>80374</v>
      </c>
    </row>
    <row r="359" spans="2:3" x14ac:dyDescent="0.25">
      <c r="B359" s="30">
        <v>45007</v>
      </c>
      <c r="C359" s="1">
        <f>_xlfn.IFNA(_xlfn.XLOOKUP(B359,Data_22_23[Date],Data_22_23[Balance],NA(),0,-1),Monthly_Data!C358)</f>
        <v>80374</v>
      </c>
    </row>
    <row r="360" spans="2:3" x14ac:dyDescent="0.25">
      <c r="B360" s="30">
        <v>45008</v>
      </c>
      <c r="C360" s="1">
        <f>_xlfn.IFNA(_xlfn.XLOOKUP(B360,Data_22_23[Date],Data_22_23[Balance],NA(),0,-1),Monthly_Data!C359)</f>
        <v>80374</v>
      </c>
    </row>
    <row r="361" spans="2:3" x14ac:dyDescent="0.25">
      <c r="B361" s="30">
        <v>45009</v>
      </c>
      <c r="C361" s="1">
        <f>_xlfn.IFNA(_xlfn.XLOOKUP(B361,Data_22_23[Date],Data_22_23[Balance],NA(),0,-1),Monthly_Data!C360)</f>
        <v>80374</v>
      </c>
    </row>
    <row r="362" spans="2:3" x14ac:dyDescent="0.25">
      <c r="B362" s="30">
        <v>45010</v>
      </c>
      <c r="C362" s="1">
        <f>_xlfn.IFNA(_xlfn.XLOOKUP(B362,Data_22_23[Date],Data_22_23[Balance],NA(),0,-1),Monthly_Data!C361)</f>
        <v>80374</v>
      </c>
    </row>
    <row r="363" spans="2:3" x14ac:dyDescent="0.25">
      <c r="B363" s="30">
        <v>45011</v>
      </c>
      <c r="C363" s="1">
        <f>_xlfn.IFNA(_xlfn.XLOOKUP(B363,Data_22_23[Date],Data_22_23[Balance],NA(),0,-1),Monthly_Data!C362)</f>
        <v>80374</v>
      </c>
    </row>
    <row r="364" spans="2:3" x14ac:dyDescent="0.25">
      <c r="B364" s="30">
        <v>45012</v>
      </c>
      <c r="C364" s="1">
        <f>_xlfn.IFNA(_xlfn.XLOOKUP(B364,Data_22_23[Date],Data_22_23[Balance],NA(),0,-1),Monthly_Data!C363)</f>
        <v>80374</v>
      </c>
    </row>
    <row r="365" spans="2:3" x14ac:dyDescent="0.25">
      <c r="B365" s="30">
        <v>45013</v>
      </c>
      <c r="C365" s="1">
        <f>_xlfn.IFNA(_xlfn.XLOOKUP(B365,Data_22_23[Date],Data_22_23[Balance],NA(),0,-1),Monthly_Data!C364)</f>
        <v>80374</v>
      </c>
    </row>
    <row r="366" spans="2:3" x14ac:dyDescent="0.25">
      <c r="B366" s="30">
        <v>45014</v>
      </c>
      <c r="C366" s="1">
        <f>_xlfn.IFNA(_xlfn.XLOOKUP(B366,Data_22_23[Date],Data_22_23[Balance],NA(),0,-1),Monthly_Data!C365)</f>
        <v>80374</v>
      </c>
    </row>
    <row r="367" spans="2:3" x14ac:dyDescent="0.25">
      <c r="B367" s="30">
        <v>45015</v>
      </c>
      <c r="C367" s="1">
        <f>_xlfn.IFNA(_xlfn.XLOOKUP(B367,Data_22_23[Date],Data_22_23[Balance],NA(),0,-1),Monthly_Data!C366)</f>
        <v>80374</v>
      </c>
    </row>
    <row r="368" spans="2:3" x14ac:dyDescent="0.25">
      <c r="B368" s="30">
        <v>45016</v>
      </c>
      <c r="C368" s="1">
        <f>_xlfn.IFNA(_xlfn.XLOOKUP(B368,Data_22_23[Date],Data_22_23[Balance],NA(),0,-1),Monthly_Data!C367)</f>
        <v>80374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D5EF2A-890D-4E79-BDC7-B8F5EF6F45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Data_22_23</vt:lpstr>
      <vt:lpstr>Monthly_Data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Dhananja Dubey</dc:creator>
  <cp:lastModifiedBy>Administrator</cp:lastModifiedBy>
  <dcterms:created xsi:type="dcterms:W3CDTF">2025-01-22T07:39:17Z</dcterms:created>
  <dcterms:modified xsi:type="dcterms:W3CDTF">2025-03-02T11:25:23Z</dcterms:modified>
</cp:coreProperties>
</file>